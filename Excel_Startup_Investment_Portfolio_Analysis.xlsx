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inkdin final project\"/>
    </mc:Choice>
  </mc:AlternateContent>
  <xr:revisionPtr revIDLastSave="0" documentId="13_ncr:1_{514F4DC0-A512-44AB-BCAB-E9036164E9EB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Part1-Individual" sheetId="2" r:id="rId1"/>
    <sheet name="Final" sheetId="12" r:id="rId2"/>
    <sheet name="Report" sheetId="11" r:id="rId3"/>
    <sheet name="References" sheetId="1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b04Hra9QhVF1ppZN1aEtO+PpB2vHAc2tdwZNBfbaKjY="/>
    </ext>
  </extLst>
</workbook>
</file>

<file path=xl/calcChain.xml><?xml version="1.0" encoding="utf-8"?>
<calcChain xmlns="http://schemas.openxmlformats.org/spreadsheetml/2006/main">
  <c r="F151" i="12" l="1"/>
  <c r="F157" i="12"/>
  <c r="F197" i="12"/>
  <c r="F191" i="12"/>
  <c r="E191" i="12"/>
  <c r="F186" i="12"/>
  <c r="F185" i="12"/>
  <c r="F192" i="12"/>
  <c r="I192" i="12" s="1"/>
  <c r="I191" i="12"/>
  <c r="F200" i="12"/>
  <c r="I200" i="12" s="1"/>
  <c r="F199" i="12"/>
  <c r="I199" i="12" s="1"/>
  <c r="F198" i="12"/>
  <c r="I198" i="12" s="1"/>
  <c r="F193" i="12"/>
  <c r="I193" i="12" s="1"/>
  <c r="F188" i="12"/>
  <c r="F187" i="12"/>
  <c r="F37" i="12"/>
  <c r="F145" i="12"/>
  <c r="F132" i="12"/>
  <c r="F137" i="12"/>
  <c r="I137" i="12" s="1"/>
  <c r="F134" i="12"/>
  <c r="F133" i="12"/>
  <c r="F131" i="12"/>
  <c r="F125" i="12"/>
  <c r="F111" i="12"/>
  <c r="F105" i="12"/>
  <c r="E105" i="12"/>
  <c r="E37" i="12"/>
  <c r="F31" i="12"/>
  <c r="E31" i="12"/>
  <c r="E25" i="12"/>
  <c r="F25" i="12"/>
  <c r="F60" i="12"/>
  <c r="E60" i="12"/>
  <c r="F59" i="12"/>
  <c r="E59" i="12"/>
  <c r="F58" i="12"/>
  <c r="E58" i="12"/>
  <c r="F57" i="12"/>
  <c r="E57" i="12"/>
  <c r="F54" i="12"/>
  <c r="E51" i="12"/>
  <c r="E54" i="12" s="1"/>
  <c r="G54" i="12" s="1"/>
  <c r="F53" i="12"/>
  <c r="F52" i="12"/>
  <c r="F51" i="12"/>
  <c r="E48" i="12"/>
  <c r="E47" i="12"/>
  <c r="E46" i="12"/>
  <c r="F45" i="12"/>
  <c r="E45" i="12"/>
  <c r="F177" i="12"/>
  <c r="I177" i="12" s="1"/>
  <c r="F117" i="12"/>
  <c r="F97" i="12"/>
  <c r="F171" i="12"/>
  <c r="I171" i="12" s="1"/>
  <c r="I151" i="12"/>
  <c r="I131" i="12"/>
  <c r="F113" i="12"/>
  <c r="I113" i="12" s="1"/>
  <c r="F91" i="12"/>
  <c r="I91" i="12" s="1"/>
  <c r="F165" i="12"/>
  <c r="F107" i="12"/>
  <c r="I107" i="12" s="1"/>
  <c r="F85" i="12"/>
  <c r="F77" i="12"/>
  <c r="F71" i="12"/>
  <c r="F65" i="12"/>
  <c r="C240" i="12"/>
  <c r="G200" i="12"/>
  <c r="G199" i="12"/>
  <c r="G198" i="12"/>
  <c r="G191" i="12"/>
  <c r="G197" i="12"/>
  <c r="E200" i="12"/>
  <c r="E199" i="12"/>
  <c r="E198" i="12"/>
  <c r="E194" i="12"/>
  <c r="E193" i="12"/>
  <c r="E192" i="12"/>
  <c r="E197" i="12"/>
  <c r="E185" i="12"/>
  <c r="I187" i="12"/>
  <c r="I59" i="12"/>
  <c r="G59" i="12"/>
  <c r="I58" i="12"/>
  <c r="G58" i="12"/>
  <c r="I60" i="12"/>
  <c r="G60" i="12"/>
  <c r="I54" i="12"/>
  <c r="I52" i="12"/>
  <c r="F47" i="12"/>
  <c r="I47" i="12" s="1"/>
  <c r="G47" i="12"/>
  <c r="F46" i="12"/>
  <c r="I46" i="12" s="1"/>
  <c r="G46" i="12"/>
  <c r="F48" i="12"/>
  <c r="I48" i="12" s="1"/>
  <c r="G48" i="12"/>
  <c r="F40" i="12"/>
  <c r="F39" i="12"/>
  <c r="F38" i="12"/>
  <c r="E40" i="12"/>
  <c r="E39" i="12"/>
  <c r="E38" i="12"/>
  <c r="F34" i="12"/>
  <c r="F33" i="12"/>
  <c r="E33" i="12"/>
  <c r="E32" i="12"/>
  <c r="F32" i="12"/>
  <c r="K25" i="12"/>
  <c r="F28" i="12"/>
  <c r="F27" i="12"/>
  <c r="F26" i="12"/>
  <c r="E28" i="12"/>
  <c r="E27" i="12"/>
  <c r="E26" i="12"/>
  <c r="I53" i="12"/>
  <c r="H126" i="12"/>
  <c r="E125" i="12"/>
  <c r="F140" i="12"/>
  <c r="I140" i="12" s="1"/>
  <c r="F139" i="12"/>
  <c r="I139" i="12" s="1"/>
  <c r="F138" i="12"/>
  <c r="I138" i="12" s="1"/>
  <c r="E140" i="12"/>
  <c r="E139" i="12"/>
  <c r="E137" i="12"/>
  <c r="E138" i="12" s="1"/>
  <c r="G138" i="12" s="1"/>
  <c r="I132" i="12"/>
  <c r="E131" i="12"/>
  <c r="E134" i="12" s="1"/>
  <c r="G134" i="12" s="1"/>
  <c r="F128" i="12"/>
  <c r="I128" i="12" s="1"/>
  <c r="F127" i="12"/>
  <c r="I127" i="12" s="1"/>
  <c r="F126" i="12"/>
  <c r="I126" i="12" s="1"/>
  <c r="E128" i="12"/>
  <c r="G128" i="12" s="1"/>
  <c r="E127" i="12"/>
  <c r="E126" i="12"/>
  <c r="E180" i="12"/>
  <c r="E179" i="12"/>
  <c r="E178" i="12"/>
  <c r="G178" i="12" s="1"/>
  <c r="F179" i="12"/>
  <c r="F178" i="12"/>
  <c r="I197" i="12"/>
  <c r="C212" i="12"/>
  <c r="C238" i="12"/>
  <c r="E4" i="12"/>
  <c r="E5" i="12"/>
  <c r="E6" i="12"/>
  <c r="E7" i="12"/>
  <c r="I179" i="12"/>
  <c r="G179" i="12"/>
  <c r="E177" i="12"/>
  <c r="F172" i="12"/>
  <c r="I172" i="12" s="1"/>
  <c r="E174" i="12"/>
  <c r="E173" i="12"/>
  <c r="E172" i="12"/>
  <c r="E168" i="12"/>
  <c r="E167" i="12"/>
  <c r="E166" i="12"/>
  <c r="F168" i="12"/>
  <c r="I168" i="12" s="1"/>
  <c r="F167" i="12"/>
  <c r="I167" i="12" s="1"/>
  <c r="F166" i="12"/>
  <c r="G173" i="12"/>
  <c r="G174" i="12"/>
  <c r="G192" i="12"/>
  <c r="F159" i="12"/>
  <c r="I159" i="12" s="1"/>
  <c r="F160" i="12"/>
  <c r="I160" i="12" s="1"/>
  <c r="F158" i="12"/>
  <c r="I158" i="12" s="1"/>
  <c r="E165" i="12"/>
  <c r="E159" i="12"/>
  <c r="E160" i="12"/>
  <c r="G160" i="12" s="1"/>
  <c r="E187" i="12"/>
  <c r="G187" i="12" s="1"/>
  <c r="E188" i="12"/>
  <c r="G188" i="12" s="1"/>
  <c r="E186" i="12"/>
  <c r="G186" i="12" s="1"/>
  <c r="E158" i="12"/>
  <c r="H179" i="12"/>
  <c r="E157" i="12"/>
  <c r="I178" i="12"/>
  <c r="E153" i="12"/>
  <c r="E154" i="12"/>
  <c r="G154" i="12" s="1"/>
  <c r="E152" i="12"/>
  <c r="E151" i="12"/>
  <c r="E171" i="12"/>
  <c r="F147" i="12"/>
  <c r="I147" i="12" s="1"/>
  <c r="F148" i="12"/>
  <c r="G167" i="12"/>
  <c r="F146" i="12"/>
  <c r="I146" i="12" s="1"/>
  <c r="E147" i="12"/>
  <c r="E148" i="12"/>
  <c r="E145" i="12"/>
  <c r="G139" i="12"/>
  <c r="F119" i="12"/>
  <c r="I119" i="12" s="1"/>
  <c r="F120" i="12"/>
  <c r="I120" i="12" s="1"/>
  <c r="G57" i="12"/>
  <c r="H57" i="12"/>
  <c r="K57" i="12" s="1"/>
  <c r="I57" i="12"/>
  <c r="H58" i="12"/>
  <c r="H59" i="12"/>
  <c r="H60" i="12"/>
  <c r="E146" i="12"/>
  <c r="G119" i="12"/>
  <c r="G120" i="12"/>
  <c r="H51" i="12"/>
  <c r="I51" i="12"/>
  <c r="H52" i="12"/>
  <c r="K51" i="12" s="1"/>
  <c r="H53" i="12"/>
  <c r="H54" i="12"/>
  <c r="F118" i="12"/>
  <c r="E119" i="12"/>
  <c r="E120" i="12"/>
  <c r="E118" i="12"/>
  <c r="K125" i="12"/>
  <c r="I125" i="12"/>
  <c r="H125" i="12"/>
  <c r="G127" i="12"/>
  <c r="G126" i="12"/>
  <c r="J125" i="12" s="1"/>
  <c r="C211" i="12" s="1"/>
  <c r="G125" i="12"/>
  <c r="E117" i="12"/>
  <c r="E113" i="12"/>
  <c r="E114" i="12"/>
  <c r="E112" i="12"/>
  <c r="G74" i="12"/>
  <c r="G73" i="12"/>
  <c r="G72" i="12"/>
  <c r="G71" i="12"/>
  <c r="G68" i="12"/>
  <c r="G67" i="12"/>
  <c r="G66" i="12"/>
  <c r="G65" i="12"/>
  <c r="F66" i="12"/>
  <c r="E68" i="12"/>
  <c r="E67" i="12"/>
  <c r="E66" i="12"/>
  <c r="E111" i="12"/>
  <c r="E65" i="12"/>
  <c r="K45" i="12"/>
  <c r="E88" i="12"/>
  <c r="G88" i="12" s="1"/>
  <c r="E87" i="12"/>
  <c r="G87" i="12" s="1"/>
  <c r="E86" i="12"/>
  <c r="E85" i="12"/>
  <c r="I45" i="12"/>
  <c r="H45" i="12"/>
  <c r="H46" i="12"/>
  <c r="H47" i="12"/>
  <c r="H48" i="12"/>
  <c r="G45" i="12"/>
  <c r="G25" i="12"/>
  <c r="E107" i="12"/>
  <c r="G107" i="12" s="1"/>
  <c r="E108" i="12"/>
  <c r="G108" i="12" s="1"/>
  <c r="E106" i="12"/>
  <c r="G106" i="12" s="1"/>
  <c r="F100" i="12"/>
  <c r="F99" i="12"/>
  <c r="I99" i="12" s="1"/>
  <c r="F98" i="12"/>
  <c r="K71" i="12"/>
  <c r="J71" i="12"/>
  <c r="K77" i="12"/>
  <c r="J77" i="12"/>
  <c r="I77" i="12"/>
  <c r="H78" i="12"/>
  <c r="H77" i="12"/>
  <c r="G80" i="12"/>
  <c r="G79" i="12"/>
  <c r="G78" i="12"/>
  <c r="G77" i="12"/>
  <c r="F80" i="12"/>
  <c r="I80" i="12" s="1"/>
  <c r="F79" i="12"/>
  <c r="F78" i="12"/>
  <c r="I78" i="12" s="1"/>
  <c r="E79" i="12"/>
  <c r="E78" i="12"/>
  <c r="E77" i="12"/>
  <c r="E80" i="12" s="1"/>
  <c r="F74" i="12"/>
  <c r="I74" i="12" s="1"/>
  <c r="F73" i="12"/>
  <c r="F72" i="12"/>
  <c r="I72" i="12" s="1"/>
  <c r="F68" i="12"/>
  <c r="I68" i="12" s="1"/>
  <c r="F67" i="12"/>
  <c r="I67" i="12" s="1"/>
  <c r="I65" i="12"/>
  <c r="E99" i="12"/>
  <c r="E100" i="12"/>
  <c r="E71" i="12"/>
  <c r="E74" i="12" s="1"/>
  <c r="E98" i="12"/>
  <c r="E73" i="12"/>
  <c r="E97" i="12"/>
  <c r="H74" i="12"/>
  <c r="H73" i="12"/>
  <c r="H72" i="12"/>
  <c r="H71" i="12"/>
  <c r="G93" i="12"/>
  <c r="K65" i="12"/>
  <c r="F92" i="12"/>
  <c r="I92" i="12" s="1"/>
  <c r="E94" i="12"/>
  <c r="E93" i="12"/>
  <c r="E92" i="12"/>
  <c r="E91" i="12"/>
  <c r="H68" i="12"/>
  <c r="H67" i="12"/>
  <c r="H66" i="12"/>
  <c r="H65" i="12"/>
  <c r="F87" i="12"/>
  <c r="I87" i="12" s="1"/>
  <c r="F88" i="12"/>
  <c r="I88" i="12" s="1"/>
  <c r="F86" i="12"/>
  <c r="I25" i="12"/>
  <c r="H197" i="12"/>
  <c r="K197" i="12"/>
  <c r="H198" i="12"/>
  <c r="H199" i="12"/>
  <c r="H200" i="12"/>
  <c r="H191" i="12"/>
  <c r="H192" i="12"/>
  <c r="G193" i="12"/>
  <c r="H193" i="12"/>
  <c r="K191" i="12" s="1"/>
  <c r="G194" i="12"/>
  <c r="H194" i="12"/>
  <c r="G185" i="12"/>
  <c r="H185" i="12"/>
  <c r="H186" i="12"/>
  <c r="H187" i="12"/>
  <c r="K185" i="12" s="1"/>
  <c r="H188" i="12"/>
  <c r="H177" i="12"/>
  <c r="K177" i="12"/>
  <c r="H178" i="12"/>
  <c r="H180" i="12"/>
  <c r="G171" i="12"/>
  <c r="H171" i="12"/>
  <c r="G172" i="12"/>
  <c r="H172" i="12"/>
  <c r="H173" i="12"/>
  <c r="K171" i="12" s="1"/>
  <c r="H174" i="12"/>
  <c r="G165" i="12"/>
  <c r="I165" i="12"/>
  <c r="H165" i="12"/>
  <c r="H166" i="12"/>
  <c r="H167" i="12"/>
  <c r="K165" i="12" s="1"/>
  <c r="H168" i="12"/>
  <c r="G157" i="12"/>
  <c r="H157" i="12"/>
  <c r="I157" i="12"/>
  <c r="K157" i="12"/>
  <c r="G158" i="12"/>
  <c r="H158" i="12"/>
  <c r="G159" i="12"/>
  <c r="H159" i="12"/>
  <c r="H160" i="12"/>
  <c r="G151" i="12"/>
  <c r="H151" i="12"/>
  <c r="G152" i="12"/>
  <c r="H152" i="12"/>
  <c r="G153" i="12"/>
  <c r="H153" i="12"/>
  <c r="K151" i="12" s="1"/>
  <c r="H154" i="12"/>
  <c r="G145" i="12"/>
  <c r="I145" i="12"/>
  <c r="H145" i="12"/>
  <c r="G146" i="12"/>
  <c r="H146" i="12"/>
  <c r="G147" i="12"/>
  <c r="H147" i="12"/>
  <c r="K145" i="12" s="1"/>
  <c r="G148" i="12"/>
  <c r="H148" i="12"/>
  <c r="I148" i="12"/>
  <c r="G137" i="12"/>
  <c r="H137" i="12"/>
  <c r="H138" i="12"/>
  <c r="H139" i="12"/>
  <c r="K137" i="12" s="1"/>
  <c r="G140" i="12"/>
  <c r="H140" i="12"/>
  <c r="H131" i="12"/>
  <c r="K131" i="12" s="1"/>
  <c r="H132" i="12"/>
  <c r="H133" i="12"/>
  <c r="H134" i="12"/>
  <c r="H127" i="12"/>
  <c r="H128" i="12"/>
  <c r="G117" i="12"/>
  <c r="H117" i="12"/>
  <c r="K117" i="12" s="1"/>
  <c r="I117" i="12"/>
  <c r="G118" i="12"/>
  <c r="H118" i="12"/>
  <c r="I118" i="12"/>
  <c r="J117" i="12"/>
  <c r="H119" i="12"/>
  <c r="H120" i="12"/>
  <c r="G111" i="12"/>
  <c r="H111" i="12"/>
  <c r="K111" i="12"/>
  <c r="G112" i="12"/>
  <c r="H112" i="12"/>
  <c r="G113" i="12"/>
  <c r="H113" i="12"/>
  <c r="G114" i="12"/>
  <c r="H114" i="12"/>
  <c r="G105" i="12"/>
  <c r="H105" i="12"/>
  <c r="K105" i="12"/>
  <c r="H106" i="12"/>
  <c r="H107" i="12"/>
  <c r="H108" i="12"/>
  <c r="G97" i="12"/>
  <c r="H97" i="12"/>
  <c r="I97" i="12"/>
  <c r="G98" i="12"/>
  <c r="H98" i="12"/>
  <c r="I98" i="12"/>
  <c r="G99" i="12"/>
  <c r="H99" i="12"/>
  <c r="K97" i="12" s="1"/>
  <c r="G100" i="12"/>
  <c r="H100" i="12"/>
  <c r="I100" i="12"/>
  <c r="G91" i="12"/>
  <c r="H91" i="12"/>
  <c r="G92" i="12"/>
  <c r="H92" i="12"/>
  <c r="H93" i="12"/>
  <c r="K91" i="12" s="1"/>
  <c r="G94" i="12"/>
  <c r="H94" i="12"/>
  <c r="I85" i="12"/>
  <c r="G85" i="12"/>
  <c r="H85" i="12"/>
  <c r="I86" i="12"/>
  <c r="G86" i="12"/>
  <c r="H86" i="12"/>
  <c r="H87" i="12"/>
  <c r="K85" i="12" s="1"/>
  <c r="H88" i="12"/>
  <c r="I79" i="12"/>
  <c r="H79" i="12"/>
  <c r="H80" i="12"/>
  <c r="H38" i="12"/>
  <c r="H39" i="12"/>
  <c r="H40" i="12"/>
  <c r="H32" i="12"/>
  <c r="H33" i="12"/>
  <c r="H34" i="12"/>
  <c r="H37" i="12"/>
  <c r="H31" i="12"/>
  <c r="H26" i="12"/>
  <c r="H27" i="12"/>
  <c r="H28" i="12"/>
  <c r="H25" i="12"/>
  <c r="E19" i="12"/>
  <c r="E18" i="12"/>
  <c r="E17" i="12"/>
  <c r="E16" i="12"/>
  <c r="E13" i="12"/>
  <c r="E12" i="12"/>
  <c r="E11" i="12"/>
  <c r="E10" i="12"/>
  <c r="F194" i="12" l="1"/>
  <c r="I194" i="12" s="1"/>
  <c r="F173" i="12"/>
  <c r="I173" i="12" s="1"/>
  <c r="I111" i="12"/>
  <c r="F93" i="12"/>
  <c r="I93" i="12" s="1"/>
  <c r="F112" i="12"/>
  <c r="I112" i="12" s="1"/>
  <c r="F174" i="12"/>
  <c r="I174" i="12" s="1"/>
  <c r="L171" i="12" s="1"/>
  <c r="I133" i="12"/>
  <c r="F94" i="12"/>
  <c r="I94" i="12" s="1"/>
  <c r="L91" i="12" s="1"/>
  <c r="F114" i="12"/>
  <c r="I114" i="12" s="1"/>
  <c r="I134" i="12"/>
  <c r="E52" i="12"/>
  <c r="E53" i="12"/>
  <c r="G53" i="12" s="1"/>
  <c r="F180" i="12"/>
  <c r="I180" i="12" s="1"/>
  <c r="F152" i="12"/>
  <c r="I152" i="12" s="1"/>
  <c r="F154" i="12"/>
  <c r="I154" i="12" s="1"/>
  <c r="F153" i="12"/>
  <c r="I153" i="12" s="1"/>
  <c r="F106" i="12"/>
  <c r="I106" i="12" s="1"/>
  <c r="I105" i="12"/>
  <c r="F108" i="12"/>
  <c r="I108" i="12" s="1"/>
  <c r="L77" i="12"/>
  <c r="J191" i="12"/>
  <c r="I185" i="12"/>
  <c r="I186" i="12"/>
  <c r="I188" i="12"/>
  <c r="G51" i="12"/>
  <c r="J51" i="12" s="1"/>
  <c r="C220" i="12" s="1"/>
  <c r="G52" i="12"/>
  <c r="J57" i="12"/>
  <c r="C233" i="12" s="1"/>
  <c r="L45" i="12"/>
  <c r="D207" i="12" s="1"/>
  <c r="J45" i="12"/>
  <c r="C207" i="12" s="1"/>
  <c r="L191" i="12"/>
  <c r="D227" i="12" s="1"/>
  <c r="L125" i="12"/>
  <c r="G131" i="12"/>
  <c r="E133" i="12"/>
  <c r="G133" i="12" s="1"/>
  <c r="E132" i="12"/>
  <c r="G132" i="12" s="1"/>
  <c r="J131" i="12" s="1"/>
  <c r="C224" i="12" s="1"/>
  <c r="L177" i="12"/>
  <c r="L57" i="12"/>
  <c r="L51" i="12"/>
  <c r="G180" i="12"/>
  <c r="G177" i="12"/>
  <c r="I166" i="12"/>
  <c r="L165" i="12" s="1"/>
  <c r="L157" i="12"/>
  <c r="D238" i="12" s="1"/>
  <c r="J157" i="12"/>
  <c r="G168" i="12"/>
  <c r="G166" i="12"/>
  <c r="J165" i="12" s="1"/>
  <c r="L137" i="12"/>
  <c r="D237" i="12" s="1"/>
  <c r="J137" i="12"/>
  <c r="C237" i="12" s="1"/>
  <c r="L131" i="12"/>
  <c r="J111" i="12"/>
  <c r="L97" i="12"/>
  <c r="I66" i="12"/>
  <c r="L65" i="12"/>
  <c r="I71" i="12"/>
  <c r="I73" i="12"/>
  <c r="E72" i="12"/>
  <c r="J65" i="12"/>
  <c r="L145" i="12"/>
  <c r="D212" i="12" s="1"/>
  <c r="J105" i="12"/>
  <c r="L197" i="12"/>
  <c r="D240" i="12" s="1"/>
  <c r="J185" i="12"/>
  <c r="J197" i="12"/>
  <c r="J171" i="12"/>
  <c r="J145" i="12"/>
  <c r="L117" i="12"/>
  <c r="J151" i="12"/>
  <c r="J85" i="12"/>
  <c r="L85" i="12"/>
  <c r="J91" i="12"/>
  <c r="J97" i="12"/>
  <c r="K37" i="12"/>
  <c r="F4" i="12"/>
  <c r="G4" i="12" s="1"/>
  <c r="F10" i="12"/>
  <c r="G13" i="12" s="1"/>
  <c r="K31" i="12"/>
  <c r="F16" i="12"/>
  <c r="G17" i="12" s="1"/>
  <c r="G26" i="12"/>
  <c r="G27" i="12"/>
  <c r="G28" i="12"/>
  <c r="I27" i="12"/>
  <c r="I28" i="12"/>
  <c r="I26" i="12"/>
  <c r="L25" i="12" s="1"/>
  <c r="G31" i="12"/>
  <c r="G33" i="12"/>
  <c r="E34" i="12"/>
  <c r="G34" i="12" s="1"/>
  <c r="G32" i="12"/>
  <c r="I31" i="12"/>
  <c r="I33" i="12"/>
  <c r="I34" i="12"/>
  <c r="I32" i="12"/>
  <c r="G37" i="12"/>
  <c r="G39" i="12"/>
  <c r="G40" i="12"/>
  <c r="G38" i="12"/>
  <c r="I37" i="12"/>
  <c r="I39" i="12"/>
  <c r="I40" i="12"/>
  <c r="I38" i="12"/>
  <c r="G11" i="12"/>
  <c r="G12" i="12"/>
  <c r="L185" i="12" l="1"/>
  <c r="D214" i="12" s="1"/>
  <c r="L151" i="12"/>
  <c r="L111" i="12"/>
  <c r="L105" i="12"/>
  <c r="J25" i="12"/>
  <c r="L71" i="12"/>
  <c r="D206" i="12"/>
  <c r="J177" i="12"/>
  <c r="D211" i="12"/>
  <c r="D224" i="12"/>
  <c r="G10" i="12"/>
  <c r="G16" i="12"/>
  <c r="H10" i="12"/>
  <c r="I10" i="12" s="1"/>
  <c r="J10" i="12" s="1"/>
  <c r="G18" i="12"/>
  <c r="G19" i="12"/>
  <c r="C206" i="12"/>
  <c r="G5" i="12"/>
  <c r="G6" i="12"/>
  <c r="G7" i="12"/>
  <c r="L37" i="12"/>
  <c r="J37" i="12"/>
  <c r="L31" i="12"/>
  <c r="D219" i="12" s="1"/>
  <c r="J31" i="12"/>
  <c r="C219" i="12" s="1"/>
  <c r="M10" i="12"/>
  <c r="H16" i="12" l="1"/>
  <c r="I16" i="12" s="1"/>
  <c r="M13" i="12"/>
  <c r="J16" i="12"/>
  <c r="H4" i="12"/>
  <c r="I4" i="12" s="1"/>
  <c r="J4" i="12" s="1"/>
  <c r="M11" i="12"/>
  <c r="M12" i="12"/>
</calcChain>
</file>

<file path=xl/sharedStrings.xml><?xml version="1.0" encoding="utf-8"?>
<sst xmlns="http://schemas.openxmlformats.org/spreadsheetml/2006/main" count="674" uniqueCount="209">
  <si>
    <t xml:space="preserve">You are part of a financial consulting team tasked with advising a startup client looking to invest in one of three diversified investment portfolios. </t>
  </si>
  <si>
    <t>Each portfolio has various potential outcomes, probabilities, associated risks, and strategic implications. Your goal is to analyze these portfolios in depth and provide a well-justified recommendation.</t>
  </si>
  <si>
    <t>Investment Portfolios Overview</t>
  </si>
  <si>
    <t>Portfolio</t>
  </si>
  <si>
    <t>Growth Outcome</t>
  </si>
  <si>
    <t>Payoff ($)</t>
  </si>
  <si>
    <t>Probability</t>
  </si>
  <si>
    <t>A</t>
  </si>
  <si>
    <t>High</t>
  </si>
  <si>
    <t>Moderate</t>
  </si>
  <si>
    <t>Low</t>
  </si>
  <si>
    <t>Total Loss</t>
  </si>
  <si>
    <t>B</t>
  </si>
  <si>
    <t>C</t>
  </si>
  <si>
    <t>Part 1: Detailed Individual Analysis - will not be graded but must be submitted prior to joining a group</t>
  </si>
  <si>
    <t>Before joining a group, you must gain a comprehensive understanding of each portfolio.</t>
  </si>
  <si>
    <t>Tasks</t>
  </si>
  <si>
    <r>
      <rPr>
        <b/>
        <sz val="11"/>
        <color theme="1"/>
        <rFont val="Calibri"/>
        <family val="2"/>
      </rPr>
      <t>1. Calculate the Payoff Strategies</t>
    </r>
    <r>
      <rPr>
        <sz val="11"/>
        <color theme="1"/>
        <rFont val="Calibri"/>
        <family val="2"/>
      </rPr>
      <t xml:space="preserve"> for each investment option using </t>
    </r>
    <r>
      <rPr>
        <u/>
        <sz val="11"/>
        <color theme="1"/>
        <rFont val="Calibri"/>
        <family val="2"/>
      </rPr>
      <t>Risk Modelling</t>
    </r>
    <r>
      <rPr>
        <sz val="11"/>
        <color theme="1"/>
        <rFont val="Calibri"/>
        <family val="2"/>
      </rPr>
      <t xml:space="preserve"> as you learned in class. </t>
    </r>
  </si>
  <si>
    <t>For each type of decision-making, create a table for each portfolio.</t>
  </si>
  <si>
    <r>
      <rPr>
        <b/>
        <sz val="11"/>
        <color rgb="FF000000"/>
        <rFont val="Calibri"/>
        <family val="2"/>
      </rPr>
      <t>2. Sensitivity Analysis:</t>
    </r>
    <r>
      <rPr>
        <sz val="11"/>
        <color rgb="FF000000"/>
        <rFont val="Calibri"/>
        <family val="2"/>
      </rPr>
      <t xml:space="preserve"> Assess how sensitive the average payoff is to changes in the probability of the high-growth scenario (e.g., what happens if the probability increases or decreases by 10% between 10 to 90%).</t>
    </r>
  </si>
  <si>
    <t>2. Discuss: (Approximately 20-30 lines in total)</t>
  </si>
  <si>
    <t>(a) interpret the implications of the average payoffs in terms of potential growth for the startup.</t>
  </si>
  <si>
    <t>(b) how the Best and Worst-Case Scenarios for each portfolio could impact the startup's long-term strategy.</t>
  </si>
  <si>
    <t>(c) how opportunity loss affects the decision-making process for the startup.</t>
  </si>
  <si>
    <t>(d) volatility as well as the risk-return profile of each portfolio.</t>
  </si>
  <si>
    <t>3. Decide and explain:</t>
  </si>
  <si>
    <t>Which is the best portfolio, and why? (5-10 lines that explain how you arrived at the decision interpreting your analysis.)</t>
  </si>
  <si>
    <t>4. Sensitivity analysis</t>
  </si>
  <si>
    <t>(a) For the varying probabilities, explain the impacts on the portfolios.</t>
  </si>
  <si>
    <t>(b) Find the break even points.  Graph. Interpret/discuss them.</t>
  </si>
  <si>
    <t>Average Payoff ($)</t>
  </si>
  <si>
    <t>Expected Payoff ($)</t>
  </si>
  <si>
    <t>(Payoff-expected)^2 * probability</t>
  </si>
  <si>
    <t>Variance</t>
  </si>
  <si>
    <t>Standard Deviation</t>
  </si>
  <si>
    <t>Return to risk Ratio</t>
  </si>
  <si>
    <t>Expected Payoff</t>
  </si>
  <si>
    <t>Best Expected Payoff ($) (B)</t>
  </si>
  <si>
    <t>Opportunity Loss (Portfolio A)</t>
  </si>
  <si>
    <t>Opportunity Loss (Portfolio C)</t>
  </si>
  <si>
    <t>Least Risk Portfolio (Portfolio C)</t>
  </si>
  <si>
    <t>10% increase and decrease</t>
  </si>
  <si>
    <t xml:space="preserve">10% + </t>
  </si>
  <si>
    <t>10% -</t>
  </si>
  <si>
    <t>Average Payoff (10% +)</t>
  </si>
  <si>
    <t>Average Payoff (Actual)</t>
  </si>
  <si>
    <t>Average Payoff (10% -)</t>
  </si>
  <si>
    <t>Expected Payoff (10% +)</t>
  </si>
  <si>
    <t>Expected Payoff (Actual)</t>
  </si>
  <si>
    <t>Expected Payoff (10% -)</t>
  </si>
  <si>
    <t>20% increase and decrease</t>
  </si>
  <si>
    <t xml:space="preserve">20% + </t>
  </si>
  <si>
    <t>20% -</t>
  </si>
  <si>
    <t>Average Payoff (20% +)</t>
  </si>
  <si>
    <t>Average Payoff (20% -)</t>
  </si>
  <si>
    <t>Expected Payoff (20% +)</t>
  </si>
  <si>
    <t>Expected Payoff (20% -)</t>
  </si>
  <si>
    <t>30% increase and decrease</t>
  </si>
  <si>
    <t xml:space="preserve">30% + </t>
  </si>
  <si>
    <t>30% -</t>
  </si>
  <si>
    <t>Average Payoff (30% +)</t>
  </si>
  <si>
    <t>Average Payoff (30% -)</t>
  </si>
  <si>
    <t>Expected Payoff (30% +)</t>
  </si>
  <si>
    <t>Expected Payoff (30% -)</t>
  </si>
  <si>
    <t>40% increase and decrease</t>
  </si>
  <si>
    <t xml:space="preserve">40% + </t>
  </si>
  <si>
    <t>40% -</t>
  </si>
  <si>
    <t>Average Payoff (40% +)</t>
  </si>
  <si>
    <t>Average Payoff (40% -)</t>
  </si>
  <si>
    <t>Expected Payoff (40% +)</t>
  </si>
  <si>
    <t>Expected Payoff (40% -)</t>
  </si>
  <si>
    <t>50% increase and decrease</t>
  </si>
  <si>
    <t xml:space="preserve">50% + </t>
  </si>
  <si>
    <t>50% -</t>
  </si>
  <si>
    <t>Average Payoff (50% +)</t>
  </si>
  <si>
    <t>Average Payoff (50% -)</t>
  </si>
  <si>
    <t>Expected Payoff (50% +)</t>
  </si>
  <si>
    <t>Expected Payoff (50% -)</t>
  </si>
  <si>
    <t>60% increase and decrease</t>
  </si>
  <si>
    <t xml:space="preserve">60% + </t>
  </si>
  <si>
    <t>60% -</t>
  </si>
  <si>
    <t>Average Payoff (60% +)</t>
  </si>
  <si>
    <t>Average Payoff (60% -)</t>
  </si>
  <si>
    <t>Expected Payoff (60% +)</t>
  </si>
  <si>
    <t>Expected Payoff (60% -)</t>
  </si>
  <si>
    <t>70% increase and decrease</t>
  </si>
  <si>
    <t xml:space="preserve">70% + </t>
  </si>
  <si>
    <t>70% -</t>
  </si>
  <si>
    <t>Average Payoff (70% +)</t>
  </si>
  <si>
    <t>Average Payoff (70% -)</t>
  </si>
  <si>
    <t>Expected Payoff (70% +)</t>
  </si>
  <si>
    <t>Expected Payoff (70% -)</t>
  </si>
  <si>
    <t>80% increase and decrease</t>
  </si>
  <si>
    <t xml:space="preserve">80% + </t>
  </si>
  <si>
    <t>80% -</t>
  </si>
  <si>
    <t>Average Payoff (80% +)</t>
  </si>
  <si>
    <t>Average Payoff (80% -)</t>
  </si>
  <si>
    <t>Expected Payoff (80% +)</t>
  </si>
  <si>
    <t>Expected Payoff (80% -)</t>
  </si>
  <si>
    <t>90% increase and decrease</t>
  </si>
  <si>
    <t xml:space="preserve">90% + </t>
  </si>
  <si>
    <t>90% -</t>
  </si>
  <si>
    <t>Average Payoff (90% +)</t>
  </si>
  <si>
    <t>Average Payoff (90% -)</t>
  </si>
  <si>
    <t>Expected Payoff (90% +)</t>
  </si>
  <si>
    <t>Expected Payoff (90% -)</t>
  </si>
  <si>
    <t>Summary of Sensitive Analysis for Portfolio A</t>
  </si>
  <si>
    <t>Expected Payoff (+)</t>
  </si>
  <si>
    <t>Expected Payoff (-)</t>
  </si>
  <si>
    <t>Summary of Sensitive Analysis for Portfolio B</t>
  </si>
  <si>
    <t>Summary of Sensitive Analysis for Portfolio C</t>
  </si>
  <si>
    <t>Report</t>
  </si>
  <si>
    <r>
      <rPr>
        <b/>
        <sz val="11"/>
        <color rgb="FF000000"/>
        <rFont val="Calibri"/>
        <family val="2"/>
        <scheme val="minor"/>
      </rPr>
      <t xml:space="preserve">Portfolio A </t>
    </r>
    <r>
      <rPr>
        <sz val="11"/>
        <color rgb="FF000000"/>
        <rFont val="Calibri"/>
        <family val="2"/>
        <scheme val="minor"/>
      </rPr>
      <t xml:space="preserve">offers substantial growth potential with an average payoff of $122,500, making it a good choice for startups. 
</t>
    </r>
    <r>
      <rPr>
        <b/>
        <sz val="11"/>
        <color rgb="FF000000"/>
        <rFont val="Calibri"/>
        <family val="2"/>
        <scheme val="minor"/>
      </rPr>
      <t>Portfolio B</t>
    </r>
    <r>
      <rPr>
        <sz val="11"/>
        <color rgb="FF000000"/>
        <rFont val="Calibri"/>
        <family val="2"/>
        <scheme val="minor"/>
      </rPr>
      <t xml:space="preserve"> has the highest expected value of $139,500, offering higher growth potential. 
</t>
    </r>
    <r>
      <rPr>
        <b/>
        <sz val="11"/>
        <color rgb="FF000000"/>
        <rFont val="Calibri"/>
        <family val="2"/>
        <scheme val="minor"/>
      </rPr>
      <t xml:space="preserve">Portfolio C </t>
    </r>
    <r>
      <rPr>
        <sz val="11"/>
        <color rgb="FF000000"/>
        <rFont val="Calibri"/>
        <family val="2"/>
        <scheme val="minor"/>
      </rPr>
      <t>has the lowest projected value, with an average payback of $104,500, suggesting a less volatile approach. All three portfolios offer positive expected returns, with different levels of potential growth and risk.</t>
    </r>
    <r>
      <rPr>
        <b/>
        <sz val="11"/>
        <color rgb="FF000000"/>
        <rFont val="Calibri"/>
        <family val="2"/>
        <scheme val="minor"/>
      </rPr>
      <t xml:space="preserve"> 
Portfolio B</t>
    </r>
    <r>
      <rPr>
        <sz val="11"/>
        <color rgb="FF000000"/>
        <rFont val="Calibri"/>
        <family val="2"/>
        <scheme val="minor"/>
      </rPr>
      <t xml:space="preserve"> is the best choice for aggressive growth, while </t>
    </r>
    <r>
      <rPr>
        <b/>
        <sz val="11"/>
        <color rgb="FF000000"/>
        <rFont val="Calibri"/>
        <family val="2"/>
        <scheme val="minor"/>
      </rPr>
      <t>Portfolio A</t>
    </r>
    <r>
      <rPr>
        <sz val="11"/>
        <color rgb="FF000000"/>
        <rFont val="Calibri"/>
        <family val="2"/>
        <scheme val="minor"/>
      </rPr>
      <t xml:space="preserve"> provides significant returns. </t>
    </r>
    <r>
      <rPr>
        <b/>
        <sz val="11"/>
        <color rgb="FF000000"/>
        <rFont val="Calibri"/>
        <family val="2"/>
        <scheme val="minor"/>
      </rPr>
      <t>Portfolio C</t>
    </r>
    <r>
      <rPr>
        <sz val="11"/>
        <color rgb="FF000000"/>
        <rFont val="Calibri"/>
        <family val="2"/>
        <scheme val="minor"/>
      </rPr>
      <t xml:space="preserve"> offers the lowest returns and may be more suitable for a risk-averse investing approach. The startups should choose the portfolio that best fits their growth goals and risk tolerance.</t>
    </r>
  </si>
  <si>
    <t xml:space="preserve">Portfolio A </t>
  </si>
  <si>
    <t>Best case:  payoff is 300,000 and its probability is 0.2  it is lower compare to other portfolio.</t>
  </si>
  <si>
    <t>Worse case : -100,000 total loss and its probability is low compare to other it is 0.05</t>
  </si>
  <si>
    <t>It is a moderate portfolio and can be one option for startup.</t>
  </si>
  <si>
    <t>Portfolio B</t>
  </si>
  <si>
    <t>Highest : payoff is 400,000 and its probability is 0.15 and expected payoff for this is also high 600,000, and it is highest potential payoff compare to other portfolio.</t>
  </si>
  <si>
    <t>Worse case:  -80,000 total loss and its probability is 0.1 is high compare to A and same as C .</t>
  </si>
  <si>
    <t>This can be best option, and ideal for ambitious exapnsion plans when the startup is prepared to accept greater risk in exchange for larger profits.</t>
  </si>
  <si>
    <t xml:space="preserve">Portfolio C: </t>
  </si>
  <si>
    <t>Best case: At a somewhat high growth likelihood, Portfolio A breaks even. This shows that provide positive returns with slow high-growth chance.</t>
  </si>
  <si>
    <t>Worse case : -60,000 total loss and this is smallest and its probability is 0.1 same as B</t>
  </si>
  <si>
    <t>It provide lower risk and moderate return, and if comapany want minimize loss and slow growth rate at this time this can be consider.</t>
  </si>
  <si>
    <r>
      <rPr>
        <sz val="11"/>
        <color rgb="FF000000"/>
        <rFont val="Calibri"/>
        <family val="2"/>
        <scheme val="minor"/>
      </rPr>
      <t xml:space="preserve">Portfolio B has the highest expected pay off of $139500. If the startup chooses Portfolio A or C instead of portfolio B, they would lose the opportunity of gaining </t>
    </r>
    <r>
      <rPr>
        <b/>
        <sz val="11"/>
        <color rgb="FF000000"/>
        <rFont val="Calibri"/>
        <family val="2"/>
        <scheme val="minor"/>
      </rPr>
      <t>$17000</t>
    </r>
    <r>
      <rPr>
        <sz val="11"/>
        <color rgb="FF000000"/>
        <rFont val="Calibri"/>
        <family val="2"/>
        <scheme val="minor"/>
      </rPr>
      <t xml:space="preserve"> and </t>
    </r>
    <r>
      <rPr>
        <b/>
        <sz val="11"/>
        <color rgb="FF000000"/>
        <rFont val="Calibri"/>
        <family val="2"/>
        <scheme val="minor"/>
      </rPr>
      <t xml:space="preserve">$34000 </t>
    </r>
    <r>
      <rPr>
        <sz val="11"/>
        <color rgb="FF000000"/>
        <rFont val="Calibri"/>
        <family val="2"/>
        <scheme val="minor"/>
      </rPr>
      <t>respectively.</t>
    </r>
  </si>
  <si>
    <t>Portfolio A, B, and C are analyzed based on their volatility and risk-return. </t>
  </si>
  <si>
    <r>
      <t>Portfolio B</t>
    </r>
    <r>
      <rPr>
        <sz val="10"/>
        <color theme="1"/>
        <rFont val="Helvetica Neue"/>
        <family val="2"/>
      </rPr>
      <t xml:space="preserve"> has the highest excepted payoff of $139,500, high variance, and standard deviation, indicating high risk and variability. </t>
    </r>
  </si>
  <si>
    <r>
      <t>Portfolio A</t>
    </r>
    <r>
      <rPr>
        <sz val="10"/>
        <color theme="1"/>
        <rFont val=".AppleSystemUIFont"/>
        <charset val="1"/>
      </rPr>
      <t xml:space="preserve"> has a moderate excepted payoff of $122,500, moderate variance, and standard deviation, indicating a balanced approach. </t>
    </r>
  </si>
  <si>
    <r>
      <t>Portfolio C</t>
    </r>
    <r>
      <rPr>
        <sz val="10"/>
        <color theme="1"/>
        <rFont val="Helvetica Neue"/>
        <family val="2"/>
      </rPr>
      <t xml:space="preserve"> has the lowest expected payoff of $104,500, low variance, and standard deviation, suitable for lower risk appetites. </t>
    </r>
  </si>
  <si>
    <t>The startup companies which are seeking higher return but also have risk tolerance will prefer Portfolio B, while those seeking lower risk will prefer Portfolio C. Those seeking a balance between risk and return will likely choose Portfolio A.</t>
  </si>
  <si>
    <r>
      <t>Expected Payoff</t>
    </r>
    <r>
      <rPr>
        <sz val="11"/>
        <color theme="1"/>
        <rFont val="Calibri"/>
        <family val="2"/>
        <scheme val="minor"/>
      </rPr>
      <t>:</t>
    </r>
  </si>
  <si>
    <r>
      <t>Standard Deviation (Risk)</t>
    </r>
    <r>
      <rPr>
        <sz val="11"/>
        <color theme="1"/>
        <rFont val="Calibri"/>
        <family val="2"/>
        <scheme val="minor"/>
      </rPr>
      <t>:</t>
    </r>
  </si>
  <si>
    <r>
      <t>Best-Case Scenario</t>
    </r>
    <r>
      <rPr>
        <sz val="11"/>
        <color theme="1"/>
        <rFont val="Calibri"/>
        <family val="2"/>
        <scheme val="minor"/>
      </rPr>
      <t>:</t>
    </r>
  </si>
  <si>
    <r>
      <t>Worst-Case Scenario</t>
    </r>
    <r>
      <rPr>
        <sz val="11"/>
        <color theme="1"/>
        <rFont val="Calibri"/>
        <family val="2"/>
        <scheme val="minor"/>
      </rPr>
      <t>:</t>
    </r>
  </si>
  <si>
    <r>
      <t>Volatility</t>
    </r>
    <r>
      <rPr>
        <sz val="11"/>
        <color theme="1"/>
        <rFont val="Calibri"/>
        <family val="2"/>
        <scheme val="minor"/>
      </rPr>
      <t>:</t>
    </r>
  </si>
  <si>
    <t>Portfolio A</t>
  </si>
  <si>
    <t>Portfolio C</t>
  </si>
  <si>
    <t>According to our analysis, Portfolio B is the best portfolio.</t>
  </si>
  <si>
    <t>1. Maximum Expected payoff: With an expected payoff of $139,500, Portfolio B has the maximum potential for growth.</t>
  </si>
  <si>
    <t>2. Large Potential Returns: If the high-growth scenario comes to pass, Portfolio B has the potential to generate large financial gains based on the high projected payoff. </t>
  </si>
  <si>
    <t>3. Risk Consideration: While Portfolio B has the maximum standard deviation ($130,599.74), which suggests a higher level of risk, this is reasonable for companies who are prepared to assume greater risk in exchange for big returns. </t>
  </si>
  <si>
    <t>4. Strategic Fit for Aggressive Growth: A startup's goal of aggressive growth and market expansion is well matched with the large potential returns. </t>
  </si>
  <si>
    <t>5. Risk-Return Balance: Portfolio B is a good option as it focuses on growth because its high volatile nature is acceptable as the returns are high</t>
  </si>
  <si>
    <t>6. Worst-Case scenario: Although high loss is possible, the possibility of large return makes it worth the risk. </t>
  </si>
  <si>
    <t>7. Opportunity Cost: If we select Portfolio B, it lowers the chance cost of deciding against the portfolio with the highest expected return. </t>
  </si>
  <si>
    <t>8. Long-Term Strategy: The high possible profits provide support for long-term strategic goals like reinvestment, expansion, and achieving a larger market share. </t>
  </si>
  <si>
    <t>9. Competitive Advantage: Higher returns on investment may provide a benefit over competitors by releasing up additional funds for research and development. </t>
  </si>
  <si>
    <t>10. Growth Potential: Taking everything into account, Portfolio B helps the firm reach its goal of maximising its financial results and securing major expansion.</t>
  </si>
  <si>
    <t>Adjusting the High Growth probability affects the probabilities of Moderate, Low, and Total Loss outcomes as well</t>
  </si>
  <si>
    <t>All portfolios show an increase in the expected payoff when the probability of High Growth is increased. Because High Growth outcome have the highest payoff in all portfolios</t>
  </si>
  <si>
    <t>Similarly decreasing the probability of High Growth will leads to a reduction in the expected payoff in all portfolios</t>
  </si>
  <si>
    <t>Conclusion: Changing the probability of the High Growth Outcome significantly affects the portfolio's expected payoff. which means it is highly sensitive to expected payoff.</t>
  </si>
  <si>
    <t>In 80% increase for Portfolio A, we have a probability of 1 for high growth and 0 for all the rest, resulting in zero payoffs for moderate, low and total loss scenarios</t>
  </si>
  <si>
    <t>Sr. No.</t>
  </si>
  <si>
    <t>References</t>
  </si>
  <si>
    <t>Bobbitt, Z. (2021, September 3). How to calculate the variance of a probability distribution. Statology. https://www.statology.org/variance-of-probability-distribution/</t>
  </si>
  <si>
    <t>Bloch, B. J. (2022a, May 9).How risky is your portfolio? Investopedia. https://www.investopedia.com/articles/pf/06/riskyportfolio.asp#:~:text=As%20a%20general%20rule%2C%20if,lose%20with%20a%20particular%20portfolio</t>
  </si>
  <si>
    <t>McFarlane, G. (2023, December 11). The best portfolio balance. Investopedia. https://www.investopedia.com/financial-edge/0412/the-best-portfolio-balance.aspx</t>
  </si>
  <si>
    <r>
      <t xml:space="preserve">Kenton, W. (2024, June 27). </t>
    </r>
    <r>
      <rPr>
        <u/>
        <sz val="12"/>
        <color theme="4" tint="-0.249977111117893"/>
        <rFont val="Calibri"/>
        <family val="2"/>
        <scheme val="minor"/>
      </rPr>
      <t>What is sensitivity analysis? Investopedia. https://www.investopedia.com/terms/s/sensitivityanalysis.asp</t>
    </r>
  </si>
  <si>
    <t xml:space="preserve"> https://chatgpt.com/</t>
  </si>
  <si>
    <t>Corp, S. F. (2023, February 21). Investing if you are risk averse. Synovus. https://www.synovus.com/personal/resource-center/financial-newsletters/2022/september/investing-if-you-are-risk-averse/</t>
  </si>
  <si>
    <t>Investment Decision Analysis Using Risk Modelling</t>
  </si>
  <si>
    <r>
      <t xml:space="preserve">A startup company is evaluating </t>
    </r>
    <r>
      <rPr>
        <b/>
        <sz val="11"/>
        <color theme="1"/>
        <rFont val="Calibri"/>
        <family val="2"/>
        <scheme val="minor"/>
      </rPr>
      <t>three investment portfolios (A, B, and C)</t>
    </r>
    <r>
      <rPr>
        <sz val="11"/>
        <color theme="1"/>
        <rFont val="Calibri"/>
        <family val="2"/>
        <scheme val="minor"/>
      </rPr>
      <t xml:space="preserve"> under uncertain market conditions. Each portfolio has different </t>
    </r>
    <r>
      <rPr>
        <b/>
        <sz val="11"/>
        <color theme="1"/>
        <rFont val="Calibri"/>
        <family val="2"/>
        <scheme val="minor"/>
      </rPr>
      <t>payoffs and probabilities</t>
    </r>
    <r>
      <rPr>
        <sz val="11"/>
        <color theme="1"/>
        <rFont val="Calibri"/>
        <family val="2"/>
        <scheme val="minor"/>
      </rPr>
      <t xml:space="preserve"> across four possible growth outcomes:</t>
    </r>
  </si>
  <si>
    <t>High Growth</t>
  </si>
  <si>
    <t>Moderate Growth</t>
  </si>
  <si>
    <t>Low Growth</t>
  </si>
  <si>
    <t>🔹 Part 1: Quantitative Analysis</t>
  </si>
  <si>
    <t>1. Risk Modelling &amp; Payoff Analysis</t>
  </si>
  <si>
    <t>For each portfolio:</t>
  </si>
  <si>
    <t>Calculate:</t>
  </si>
  <si>
    <t>Expected Payoff (Expected Value)</t>
  </si>
  <si>
    <t>Return-to-Risk Ratio</t>
  </si>
  <si>
    <t>Show all calculations clearly in a structured table.</t>
  </si>
  <si>
    <t>2. Opportunity Loss</t>
  </si>
  <si>
    <r>
      <t xml:space="preserve">Identify the portfolio with the </t>
    </r>
    <r>
      <rPr>
        <b/>
        <sz val="11"/>
        <color theme="1"/>
        <rFont val="Calibri"/>
        <family val="2"/>
        <scheme val="minor"/>
      </rPr>
      <t>highest expected payoff</t>
    </r>
  </si>
  <si>
    <r>
      <t xml:space="preserve">Calculate the </t>
    </r>
    <r>
      <rPr>
        <b/>
        <sz val="11"/>
        <color theme="1"/>
        <rFont val="Calibri"/>
        <family val="2"/>
        <scheme val="minor"/>
      </rPr>
      <t>opportunity loss (regret)</t>
    </r>
    <r>
      <rPr>
        <sz val="11"/>
        <color theme="1"/>
        <rFont val="Calibri"/>
        <family val="2"/>
        <scheme val="minor"/>
      </rPr>
      <t xml:space="preserve"> for the other portfolios</t>
    </r>
  </si>
  <si>
    <t>🔹 Part 2: Sensitivity Analysis</t>
  </si>
  <si>
    <t>3. Sensitivity to Probability Changes</t>
  </si>
  <si>
    <r>
      <t xml:space="preserve">Analyze how the </t>
    </r>
    <r>
      <rPr>
        <b/>
        <sz val="11"/>
        <color theme="1"/>
        <rFont val="Calibri"/>
        <family val="2"/>
        <scheme val="minor"/>
      </rPr>
      <t>expected payoff changes</t>
    </r>
    <r>
      <rPr>
        <sz val="11"/>
        <color theme="1"/>
        <rFont val="Calibri"/>
        <family val="2"/>
        <scheme val="minor"/>
      </rPr>
      <t xml:space="preserve"> when the probability of </t>
    </r>
    <r>
      <rPr>
        <b/>
        <sz val="11"/>
        <color theme="1"/>
        <rFont val="Calibri"/>
        <family val="2"/>
        <scheme val="minor"/>
      </rPr>
      <t>High Growth</t>
    </r>
    <r>
      <rPr>
        <sz val="11"/>
        <color theme="1"/>
        <rFont val="Calibri"/>
        <family val="2"/>
        <scheme val="minor"/>
      </rPr>
      <t>:</t>
    </r>
  </si>
  <si>
    <r>
      <t xml:space="preserve">Increases and decreases by </t>
    </r>
    <r>
      <rPr>
        <b/>
        <sz val="11"/>
        <color theme="1"/>
        <rFont val="Calibri"/>
        <family val="2"/>
        <scheme val="minor"/>
      </rPr>
      <t>10% increments (10%–90%)</t>
    </r>
  </si>
  <si>
    <t>Adjust other probabilities proportionally</t>
  </si>
  <si>
    <t>Present results in tables</t>
  </si>
  <si>
    <t>4. Graphical Representation</t>
  </si>
  <si>
    <t>Create graphs showing:</t>
  </si>
  <si>
    <t>Expected payoff vs probability (increase &amp; decrease)</t>
  </si>
  <si>
    <t>Comparison across portfolios</t>
  </si>
  <si>
    <t>🔹 Part 3: Discussion &amp; Interpretation</t>
  </si>
  <si>
    <r>
      <t xml:space="preserve">Write a </t>
    </r>
    <r>
      <rPr>
        <b/>
        <sz val="11"/>
        <color theme="1"/>
        <rFont val="Calibri"/>
        <family val="2"/>
        <scheme val="minor"/>
      </rPr>
      <t>20–30 line discussion</t>
    </r>
    <r>
      <rPr>
        <sz val="11"/>
        <color theme="1"/>
        <rFont val="Calibri"/>
        <family val="2"/>
        <scheme val="minor"/>
      </rPr>
      <t xml:space="preserve"> addressing:</t>
    </r>
  </si>
  <si>
    <t>(a) Growth Implications</t>
  </si>
  <si>
    <t>What do average/expected payoffs suggest about startup growth?</t>
  </si>
  <si>
    <t>(b) Best &amp; Worst Case Scenarios</t>
  </si>
  <si>
    <t>Impact on long-term strategy</t>
  </si>
  <si>
    <t>(c) Opportunity Loss</t>
  </si>
  <si>
    <t>How it affects decision-making</t>
  </si>
  <si>
    <t>(d) Risk-Return Profile</t>
  </si>
  <si>
    <t>Compare volatility and risk levels</t>
  </si>
  <si>
    <t>🔹 Part 4: Decision Making</t>
  </si>
  <si>
    <r>
      <t xml:space="preserve">Identify the </t>
    </r>
    <r>
      <rPr>
        <b/>
        <sz val="11"/>
        <color theme="1"/>
        <rFont val="Calibri"/>
        <family val="2"/>
        <scheme val="minor"/>
      </rPr>
      <t>best portfolio</t>
    </r>
  </si>
  <si>
    <t>Justify your decision using:</t>
  </si>
  <si>
    <t>Expected payoff</t>
  </si>
  <si>
    <t>Risk (standard deviation)</t>
  </si>
  <si>
    <t>Opportunity loss</t>
  </si>
  <si>
    <t>Strategic fit</t>
  </si>
  <si>
    <t>5. Sensitivity &amp; Break-even Analysis</t>
  </si>
  <si>
    <t>Analyze how changes in probabilities impact portfolio ranking</t>
  </si>
  <si>
    <r>
      <t xml:space="preserve">Identify </t>
    </r>
    <r>
      <rPr>
        <b/>
        <sz val="11"/>
        <color theme="1"/>
        <rFont val="Calibri"/>
        <family val="2"/>
        <scheme val="minor"/>
      </rPr>
      <t>break-even points</t>
    </r>
  </si>
  <si>
    <t>Plot graphs and interpret results</t>
  </si>
  <si>
    <t xml:space="preserve"> Bonus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</si>
</sst>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"/>
  </numFmts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3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Helvetica Neue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Helvetica Neue"/>
      <family val="2"/>
    </font>
    <font>
      <sz val="10"/>
      <color theme="1"/>
      <name val=".AppleSystemUIFont"/>
      <charset val="1"/>
    </font>
    <font>
      <b/>
      <sz val="10"/>
      <color theme="1"/>
      <name val=".AppleSystemUIFont"/>
      <charset val="1"/>
    </font>
    <font>
      <u/>
      <sz val="11"/>
      <color theme="4" tint="-0.249977111117893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u/>
      <sz val="12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18">
    <xf numFmtId="0" fontId="0" fillId="0" borderId="0" xfId="0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3" fontId="4" fillId="0" borderId="5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3" fontId="4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/>
    <xf numFmtId="0" fontId="11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0" applyNumberFormat="1"/>
    <xf numFmtId="44" fontId="0" fillId="0" borderId="2" xfId="0" applyNumberFormat="1" applyBorder="1"/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4" xfId="0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 wrapText="1"/>
    </xf>
    <xf numFmtId="0" fontId="0" fillId="0" borderId="4" xfId="0" applyBorder="1"/>
    <xf numFmtId="0" fontId="9" fillId="0" borderId="2" xfId="0" applyFont="1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6" fontId="0" fillId="0" borderId="2" xfId="0" applyNumberForma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9" fontId="9" fillId="0" borderId="4" xfId="0" applyNumberFormat="1" applyFont="1" applyBorder="1"/>
    <xf numFmtId="0" fontId="9" fillId="0" borderId="4" xfId="0" applyFont="1" applyBorder="1"/>
    <xf numFmtId="0" fontId="4" fillId="0" borderId="6" xfId="0" applyFont="1" applyBorder="1" applyAlignment="1">
      <alignment vertical="center" wrapText="1"/>
    </xf>
    <xf numFmtId="3" fontId="4" fillId="0" borderId="6" xfId="0" applyNumberFormat="1" applyFont="1" applyBorder="1" applyAlignment="1">
      <alignment vertical="center" wrapText="1"/>
    </xf>
    <xf numFmtId="0" fontId="0" fillId="0" borderId="6" xfId="0" applyBorder="1"/>
    <xf numFmtId="0" fontId="4" fillId="0" borderId="7" xfId="0" applyFont="1" applyBorder="1" applyAlignment="1">
      <alignment vertical="center" wrapText="1"/>
    </xf>
    <xf numFmtId="3" fontId="4" fillId="0" borderId="7" xfId="0" applyNumberFormat="1" applyFont="1" applyBorder="1" applyAlignment="1">
      <alignment vertical="center" wrapText="1"/>
    </xf>
    <xf numFmtId="0" fontId="0" fillId="0" borderId="7" xfId="0" applyBorder="1"/>
    <xf numFmtId="0" fontId="2" fillId="0" borderId="0" xfId="0" applyFont="1"/>
    <xf numFmtId="0" fontId="2" fillId="0" borderId="8" xfId="0" applyFont="1" applyBorder="1"/>
    <xf numFmtId="0" fontId="2" fillId="0" borderId="2" xfId="0" applyFont="1" applyBorder="1"/>
    <xf numFmtId="0" fontId="10" fillId="0" borderId="4" xfId="0" applyFont="1" applyBorder="1"/>
    <xf numFmtId="0" fontId="10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0" xfId="0" applyFont="1"/>
    <xf numFmtId="0" fontId="16" fillId="0" borderId="0" xfId="0" applyFont="1"/>
    <xf numFmtId="0" fontId="0" fillId="0" borderId="2" xfId="0" applyBorder="1"/>
    <xf numFmtId="0" fontId="0" fillId="0" borderId="8" xfId="0" applyBorder="1"/>
    <xf numFmtId="0" fontId="0" fillId="0" borderId="15" xfId="0" applyBorder="1"/>
    <xf numFmtId="0" fontId="11" fillId="0" borderId="16" xfId="0" applyFont="1" applyBorder="1"/>
    <xf numFmtId="0" fontId="11" fillId="0" borderId="2" xfId="0" applyFont="1" applyBorder="1"/>
    <xf numFmtId="3" fontId="4" fillId="0" borderId="14" xfId="0" applyNumberFormat="1" applyFont="1" applyBorder="1" applyAlignment="1">
      <alignment vertical="center" wrapText="1"/>
    </xf>
    <xf numFmtId="9" fontId="9" fillId="0" borderId="2" xfId="0" applyNumberFormat="1" applyFont="1" applyBorder="1"/>
    <xf numFmtId="0" fontId="9" fillId="0" borderId="2" xfId="0" applyFont="1" applyBorder="1"/>
    <xf numFmtId="0" fontId="10" fillId="0" borderId="2" xfId="0" applyFont="1" applyBorder="1"/>
    <xf numFmtId="0" fontId="0" fillId="0" borderId="20" xfId="0" applyBorder="1"/>
    <xf numFmtId="0" fontId="0" fillId="0" borderId="10" xfId="0" applyBorder="1"/>
    <xf numFmtId="0" fontId="9" fillId="0" borderId="12" xfId="0" applyFont="1" applyBorder="1"/>
    <xf numFmtId="0" fontId="0" fillId="0" borderId="12" xfId="0" applyBorder="1"/>
    <xf numFmtId="0" fontId="3" fillId="0" borderId="10" xfId="0" applyFont="1" applyBorder="1" applyAlignment="1">
      <alignment horizontal="center" vertical="center" wrapText="1"/>
    </xf>
    <xf numFmtId="0" fontId="0" fillId="0" borderId="1" xfId="0" applyBorder="1"/>
    <xf numFmtId="0" fontId="9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7" fillId="0" borderId="0" xfId="0" applyFont="1" applyAlignment="1">
      <alignment wrapText="1"/>
    </xf>
    <xf numFmtId="6" fontId="2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wrapText="1"/>
    </xf>
    <xf numFmtId="0" fontId="13" fillId="0" borderId="2" xfId="0" applyFont="1" applyBorder="1" applyAlignment="1">
      <alignment horizontal="left" wrapText="1"/>
    </xf>
    <xf numFmtId="0" fontId="17" fillId="0" borderId="2" xfId="0" applyFont="1" applyBorder="1" applyAlignment="1">
      <alignment wrapText="1"/>
    </xf>
    <xf numFmtId="0" fontId="4" fillId="0" borderId="11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2" fillId="0" borderId="20" xfId="0" applyFont="1" applyBorder="1"/>
    <xf numFmtId="0" fontId="17" fillId="0" borderId="2" xfId="0" applyFont="1" applyBorder="1"/>
    <xf numFmtId="0" fontId="19" fillId="0" borderId="2" xfId="0" applyFont="1" applyBorder="1"/>
    <xf numFmtId="0" fontId="21" fillId="0" borderId="2" xfId="0" applyFont="1" applyBorder="1"/>
    <xf numFmtId="0" fontId="10" fillId="0" borderId="0" xfId="0" applyFont="1" applyAlignment="1">
      <alignment horizontal="center" vertical="center" wrapText="1"/>
    </xf>
    <xf numFmtId="6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9" fillId="0" borderId="2" xfId="0" applyFont="1" applyBorder="1" applyAlignment="1">
      <alignment wrapText="1"/>
    </xf>
    <xf numFmtId="0" fontId="4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22" fillId="0" borderId="2" xfId="1" applyFont="1" applyBorder="1" applyAlignment="1">
      <alignment horizontal="center" vertical="center" wrapText="1" indent="1"/>
    </xf>
    <xf numFmtId="0" fontId="22" fillId="0" borderId="2" xfId="1" applyFont="1" applyBorder="1" applyAlignment="1">
      <alignment horizontal="center" vertical="center" wrapText="1"/>
    </xf>
    <xf numFmtId="0" fontId="23" fillId="0" borderId="2" xfId="1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12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6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7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</a:t>
            </a:r>
          </a:p>
        </c:rich>
      </c:tx>
      <c:layout>
        <c:manualLayout>
          <c:xMode val="edge"/>
          <c:yMode val="edge"/>
          <c:x val="0.40726500742430383"/>
          <c:y val="4.7619965775025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Final!$C$3</c:f>
              <c:strCache>
                <c:ptCount val="1"/>
                <c:pt idx="0">
                  <c:v>Payoff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Final!$B$4:$B$7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  <c:pt idx="3">
                  <c:v>Total Loss</c:v>
                </c:pt>
              </c:strCache>
            </c:strRef>
          </c:cat>
          <c:val>
            <c:numRef>
              <c:f>Final!$C$4:$C$7</c:f>
              <c:numCache>
                <c:formatCode>#,##0</c:formatCode>
                <c:ptCount val="4"/>
                <c:pt idx="0">
                  <c:v>300000</c:v>
                </c:pt>
                <c:pt idx="1">
                  <c:v>120000</c:v>
                </c:pt>
                <c:pt idx="2">
                  <c:v>30000</c:v>
                </c:pt>
                <c:pt idx="3">
                  <c:v>-100000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46422BC-4F1D-4AC3-9A37-5FA74073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2060578823"/>
        <c:axId val="2060582407"/>
      </c:barChart>
      <c:lineChart>
        <c:grouping val="standard"/>
        <c:varyColors val="0"/>
        <c:ser>
          <c:idx val="1"/>
          <c:order val="1"/>
          <c:tx>
            <c:strRef>
              <c:f>Final!$D$3</c:f>
              <c:strCache>
                <c:ptCount val="1"/>
                <c:pt idx="0">
                  <c:v>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Final!$B$4:$B$7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  <c:pt idx="3">
                  <c:v>Total Loss</c:v>
                </c:pt>
              </c:strCache>
            </c:strRef>
          </c:cat>
          <c:val>
            <c:numRef>
              <c:f>Final!$D$4:$D$7</c:f>
              <c:numCache>
                <c:formatCode>General</c:formatCode>
                <c:ptCount val="4"/>
                <c:pt idx="0">
                  <c:v>0.2</c:v>
                </c:pt>
                <c:pt idx="1">
                  <c:v>0.5</c:v>
                </c:pt>
                <c:pt idx="2">
                  <c:v>0.25</c:v>
                </c:pt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DBAC3CB7-31A8-4E99-B78A-A2799D9CF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31432"/>
        <c:axId val="141029384"/>
      </c:lineChart>
      <c:catAx>
        <c:axId val="2060578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82407"/>
        <c:crosses val="autoZero"/>
        <c:auto val="1"/>
        <c:lblAlgn val="ctr"/>
        <c:lblOffset val="100"/>
        <c:noMultiLvlLbl val="0"/>
      </c:catAx>
      <c:valAx>
        <c:axId val="206058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Payoff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7882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41029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1432"/>
        <c:crosses val="max"/>
        <c:crossBetween val="between"/>
      </c:valAx>
      <c:catAx>
        <c:axId val="141031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029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Final!$C$9</c:f>
              <c:strCache>
                <c:ptCount val="1"/>
                <c:pt idx="0">
                  <c:v>Payoff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Final!$B$10:$B$13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  <c:pt idx="3">
                  <c:v>Total Loss</c:v>
                </c:pt>
              </c:strCache>
            </c:strRef>
          </c:cat>
          <c:val>
            <c:numRef>
              <c:f>Final!$C$10:$C$13</c:f>
              <c:numCache>
                <c:formatCode>#,##0</c:formatCode>
                <c:ptCount val="4"/>
                <c:pt idx="0">
                  <c:v>400000</c:v>
                </c:pt>
                <c:pt idx="1">
                  <c:v>150000</c:v>
                </c:pt>
                <c:pt idx="2">
                  <c:v>50000</c:v>
                </c:pt>
                <c:pt idx="3">
                  <c:v>-80000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C9DCFDB-6533-4C25-A0D7-F660A9BC6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491232264"/>
        <c:axId val="491251208"/>
      </c:barChart>
      <c:lineChart>
        <c:grouping val="standard"/>
        <c:varyColors val="0"/>
        <c:ser>
          <c:idx val="1"/>
          <c:order val="1"/>
          <c:tx>
            <c:strRef>
              <c:f>Final!$D$9</c:f>
              <c:strCache>
                <c:ptCount val="1"/>
                <c:pt idx="0">
                  <c:v>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Final!$B$10:$B$13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  <c:pt idx="3">
                  <c:v>Total Loss</c:v>
                </c:pt>
              </c:strCache>
            </c:strRef>
          </c:cat>
          <c:val>
            <c:numRef>
              <c:f>Final!$D$10:$D$13</c:f>
              <c:numCache>
                <c:formatCode>General</c:formatCode>
                <c:ptCount val="4"/>
                <c:pt idx="0">
                  <c:v>0.15</c:v>
                </c:pt>
                <c:pt idx="1">
                  <c:v>0.5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7305C219-AB9D-4BF1-95DD-185EBDF89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809864"/>
        <c:axId val="306807816"/>
      </c:lineChart>
      <c:catAx>
        <c:axId val="491232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251208"/>
        <c:crosses val="autoZero"/>
        <c:auto val="1"/>
        <c:lblAlgn val="ctr"/>
        <c:lblOffset val="100"/>
        <c:noMultiLvlLbl val="0"/>
      </c:catAx>
      <c:valAx>
        <c:axId val="49125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Payoff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23226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306807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09864"/>
        <c:crosses val="max"/>
        <c:crossBetween val="between"/>
      </c:valAx>
      <c:catAx>
        <c:axId val="306809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6807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C</a:t>
            </a:r>
          </a:p>
        </c:rich>
      </c:tx>
      <c:layout>
        <c:manualLayout>
          <c:xMode val="edge"/>
          <c:yMode val="edge"/>
          <c:x val="0.40688903043651825"/>
          <c:y val="1.4550826609557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Final!$C$15</c:f>
              <c:strCache>
                <c:ptCount val="1"/>
                <c:pt idx="0">
                  <c:v>Payoff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Final!$B$16:$B$19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  <c:pt idx="3">
                  <c:v>Total Loss</c:v>
                </c:pt>
              </c:strCache>
            </c:strRef>
          </c:cat>
          <c:val>
            <c:numRef>
              <c:f>Final!$C$16:$C$19</c:f>
              <c:numCache>
                <c:formatCode>#,##0</c:formatCode>
                <c:ptCount val="4"/>
                <c:pt idx="0">
                  <c:v>250000</c:v>
                </c:pt>
                <c:pt idx="1">
                  <c:v>90000</c:v>
                </c:pt>
                <c:pt idx="2">
                  <c:v>20000</c:v>
                </c:pt>
                <c:pt idx="3">
                  <c:v>-60000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6BA5E47-80C8-48AE-A11D-B5157EC05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290901512"/>
        <c:axId val="495089672"/>
      </c:barChart>
      <c:lineChart>
        <c:grouping val="standard"/>
        <c:varyColors val="0"/>
        <c:ser>
          <c:idx val="1"/>
          <c:order val="1"/>
          <c:tx>
            <c:strRef>
              <c:f>Final!$D$15</c:f>
              <c:strCache>
                <c:ptCount val="1"/>
                <c:pt idx="0">
                  <c:v>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Final!$B$16:$B$19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  <c:pt idx="3">
                  <c:v>Total Loss</c:v>
                </c:pt>
              </c:strCache>
            </c:strRef>
          </c:cat>
          <c:val>
            <c:numRef>
              <c:f>Final!$D$16:$D$19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B29A7E39-031C-49DB-8926-DDE6A58E0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852360"/>
        <c:axId val="330850312"/>
      </c:lineChart>
      <c:catAx>
        <c:axId val="290901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89672"/>
        <c:crosses val="autoZero"/>
        <c:auto val="1"/>
        <c:lblAlgn val="ctr"/>
        <c:lblOffset val="100"/>
        <c:noMultiLvlLbl val="0"/>
      </c:catAx>
      <c:valAx>
        <c:axId val="4950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Payoff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0151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3308503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852360"/>
        <c:crosses val="max"/>
        <c:crossBetween val="between"/>
      </c:valAx>
      <c:catAx>
        <c:axId val="330852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0850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Sensitive Analysis of Portfolio A when increased by 10 Percent</a:t>
            </a:r>
          </a:p>
        </c:rich>
      </c:tx>
      <c:layout>
        <c:manualLayout>
          <c:xMode val="edge"/>
          <c:yMode val="edge"/>
          <c:x val="0.12677476897063109"/>
          <c:y val="3.439145029327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Final!$C$205</c:f>
              <c:strCache>
                <c:ptCount val="1"/>
                <c:pt idx="0">
                  <c:v>Expected Payoff (+)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Final!$B$206:$B$214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Final!$C$206:$C$214</c:f>
              <c:numCache>
                <c:formatCode>General</c:formatCode>
                <c:ptCount val="9"/>
                <c:pt idx="0">
                  <c:v>144687.5</c:v>
                </c:pt>
                <c:pt idx="1">
                  <c:v>166875</c:v>
                </c:pt>
                <c:pt idx="2">
                  <c:v>189062.5</c:v>
                </c:pt>
                <c:pt idx="3">
                  <c:v>211250</c:v>
                </c:pt>
                <c:pt idx="4">
                  <c:v>233437.5</c:v>
                </c:pt>
                <c:pt idx="5">
                  <c:v>255625</c:v>
                </c:pt>
                <c:pt idx="6">
                  <c:v>277812.5</c:v>
                </c:pt>
                <c:pt idx="7">
                  <c:v>300000</c:v>
                </c:pt>
                <c:pt idx="8">
                  <c:v>322187.5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678617F-6BFC-46D2-A1A1-4368C80A3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20455"/>
        <c:axId val="174126599"/>
      </c:scatterChart>
      <c:valAx>
        <c:axId val="174120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26599"/>
        <c:crosses val="autoZero"/>
        <c:crossBetween val="midCat"/>
      </c:valAx>
      <c:valAx>
        <c:axId val="17412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Payoff (+)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20455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Sensitive Analysis of Portfolio A when Decreased by 10 Percent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Final!$D$205</c:f>
              <c:strCache>
                <c:ptCount val="1"/>
                <c:pt idx="0">
                  <c:v>Expected Payoff (-)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Final!$B$206:$B$214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Final!$D$206:$D$214</c:f>
              <c:numCache>
                <c:formatCode>General</c:formatCode>
                <c:ptCount val="9"/>
                <c:pt idx="0">
                  <c:v>100312.5</c:v>
                </c:pt>
                <c:pt idx="1">
                  <c:v>78125</c:v>
                </c:pt>
                <c:pt idx="2">
                  <c:v>55937.5</c:v>
                </c:pt>
                <c:pt idx="3">
                  <c:v>33750</c:v>
                </c:pt>
                <c:pt idx="4">
                  <c:v>11562.5</c:v>
                </c:pt>
                <c:pt idx="5">
                  <c:v>-10625.000000000002</c:v>
                </c:pt>
                <c:pt idx="6">
                  <c:v>-32812.499999999971</c:v>
                </c:pt>
                <c:pt idx="7">
                  <c:v>-55000</c:v>
                </c:pt>
                <c:pt idx="8">
                  <c:v>-77187.5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8784487-D7CF-42BE-B9A7-3FE923561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893255"/>
        <c:axId val="956338695"/>
      </c:scatterChart>
      <c:valAx>
        <c:axId val="955893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38695"/>
        <c:crosses val="autoZero"/>
        <c:crossBetween val="midCat"/>
      </c:valAx>
      <c:valAx>
        <c:axId val="956338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Payoff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893255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Sensitive Analysis of Portfolio B when decreased by 10 Percent</a:t>
            </a:r>
          </a:p>
        </c:rich>
      </c:tx>
      <c:layout>
        <c:manualLayout>
          <c:xMode val="edge"/>
          <c:yMode val="edge"/>
          <c:x val="0.1268629404637027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Final!$D$218</c:f>
              <c:strCache>
                <c:ptCount val="1"/>
                <c:pt idx="0">
                  <c:v>Expected Payoff (-)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Final!$B$219:$B$227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Final!$D$219:$D$227</c:f>
              <c:numCache>
                <c:formatCode>General</c:formatCode>
                <c:ptCount val="9"/>
                <c:pt idx="0">
                  <c:v>108852.94117647059</c:v>
                </c:pt>
                <c:pt idx="1">
                  <c:v>108852.94</c:v>
                </c:pt>
                <c:pt idx="2">
                  <c:v>47558.8</c:v>
                </c:pt>
                <c:pt idx="3">
                  <c:v>16911.759999999998</c:v>
                </c:pt>
                <c:pt idx="4">
                  <c:v>-13735.29</c:v>
                </c:pt>
                <c:pt idx="5">
                  <c:v>-10625.000000000002</c:v>
                </c:pt>
                <c:pt idx="6">
                  <c:v>-75029.410999999993</c:v>
                </c:pt>
                <c:pt idx="7">
                  <c:v>-105676.47</c:v>
                </c:pt>
                <c:pt idx="8">
                  <c:v>-136323.52941176467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EF81EA7-CFC1-4C46-8A8D-F8643711E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68231"/>
        <c:axId val="174118407"/>
      </c:scatterChart>
      <c:valAx>
        <c:axId val="174068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8407"/>
        <c:crosses val="autoZero"/>
        <c:crossBetween val="midCat"/>
      </c:valAx>
      <c:valAx>
        <c:axId val="17411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Payoff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8231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Sensitive Analysis of Portfolio C when increased by 10 Percent</a:t>
            </a:r>
          </a:p>
        </c:rich>
      </c:tx>
      <c:layout>
        <c:manualLayout>
          <c:xMode val="edge"/>
          <c:yMode val="edge"/>
          <c:x val="0.21060978604285691"/>
          <c:y val="3.0258125729031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Final!$C$231</c:f>
              <c:strCache>
                <c:ptCount val="1"/>
                <c:pt idx="0">
                  <c:v>Expected Payoff (+)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Final!$B$232:$B$240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Final!$C$232:$C$240</c:f>
              <c:numCache>
                <c:formatCode>General</c:formatCode>
                <c:ptCount val="9"/>
                <c:pt idx="0">
                  <c:v>123900</c:v>
                </c:pt>
                <c:pt idx="1">
                  <c:v>143300</c:v>
                </c:pt>
                <c:pt idx="2">
                  <c:v>162700</c:v>
                </c:pt>
                <c:pt idx="3">
                  <c:v>182100</c:v>
                </c:pt>
                <c:pt idx="4">
                  <c:v>201500</c:v>
                </c:pt>
                <c:pt idx="5">
                  <c:v>220900</c:v>
                </c:pt>
                <c:pt idx="6">
                  <c:v>240300</c:v>
                </c:pt>
                <c:pt idx="7">
                  <c:v>259700</c:v>
                </c:pt>
                <c:pt idx="8">
                  <c:v>279100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59E8E5DE-04F4-4E93-A86B-82BD3C875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96168"/>
        <c:axId val="98956296"/>
      </c:scatterChart>
      <c:valAx>
        <c:axId val="9839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6296"/>
        <c:crosses val="autoZero"/>
        <c:crossBetween val="midCat"/>
      </c:valAx>
      <c:valAx>
        <c:axId val="98956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Payoff (+)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9616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Sensitive Analysis of Portfolio C when decreased by 10 Percent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Final!$D$231</c:f>
              <c:strCache>
                <c:ptCount val="1"/>
                <c:pt idx="0">
                  <c:v>Expected Payoff (-)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Final!$B$232:$B$240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Final!$D$232:$D$240</c:f>
              <c:numCache>
                <c:formatCode>General</c:formatCode>
                <c:ptCount val="9"/>
                <c:pt idx="0">
                  <c:v>85100</c:v>
                </c:pt>
                <c:pt idx="1">
                  <c:v>55937.5</c:v>
                </c:pt>
                <c:pt idx="2">
                  <c:v>46300</c:v>
                </c:pt>
                <c:pt idx="3">
                  <c:v>26900</c:v>
                </c:pt>
                <c:pt idx="4">
                  <c:v>7500</c:v>
                </c:pt>
                <c:pt idx="5">
                  <c:v>-11900.000000000002</c:v>
                </c:pt>
                <c:pt idx="6">
                  <c:v>-31299.999999999985</c:v>
                </c:pt>
                <c:pt idx="7">
                  <c:v>-50700</c:v>
                </c:pt>
                <c:pt idx="8">
                  <c:v>-70100.000000000015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FF1451CF-60EF-4556-9EEC-914094506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427784"/>
        <c:axId val="1204442120"/>
      </c:scatterChart>
      <c:valAx>
        <c:axId val="120442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42120"/>
        <c:crosses val="autoZero"/>
        <c:crossBetween val="midCat"/>
      </c:valAx>
      <c:valAx>
        <c:axId val="120444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Payoff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27784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Sensitive Analysis of Portfolio B when increased by 10 Percent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Final!$C$218</c:f>
              <c:strCache>
                <c:ptCount val="1"/>
                <c:pt idx="0">
                  <c:v>Expected Payoff (+)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Final!$B$219:$B$227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Final!$C$219:$C$227</c:f>
              <c:numCache>
                <c:formatCode>General</c:formatCode>
                <c:ptCount val="9"/>
                <c:pt idx="0">
                  <c:v>170147.0588235294</c:v>
                </c:pt>
                <c:pt idx="1">
                  <c:v>200794.11764705885</c:v>
                </c:pt>
                <c:pt idx="2">
                  <c:v>231441.17</c:v>
                </c:pt>
                <c:pt idx="3">
                  <c:v>262088.23</c:v>
                </c:pt>
                <c:pt idx="4">
                  <c:v>292735.28999999998</c:v>
                </c:pt>
                <c:pt idx="5">
                  <c:v>323382.35294117645</c:v>
                </c:pt>
                <c:pt idx="6">
                  <c:v>354029.41</c:v>
                </c:pt>
                <c:pt idx="7">
                  <c:v>384676.47</c:v>
                </c:pt>
                <c:pt idx="8">
                  <c:v>415323.53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843CBC91-612E-47D0-B772-FCB95A1C4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889927"/>
        <c:axId val="1495908871"/>
      </c:scatterChart>
      <c:valAx>
        <c:axId val="1495889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908871"/>
        <c:crosses val="autoZero"/>
        <c:crossBetween val="midCat"/>
      </c:valAx>
      <c:valAx>
        <c:axId val="149590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Payoff (+)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889927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2</xdr:row>
      <xdr:rowOff>200025</xdr:rowOff>
    </xdr:from>
    <xdr:to>
      <xdr:col>18</xdr:col>
      <xdr:colOff>219075</xdr:colOff>
      <xdr:row>14</xdr:row>
      <xdr:rowOff>285750</xdr:rowOff>
    </xdr:to>
    <xdr:graphicFrame macro="">
      <xdr:nvGraphicFramePr>
        <xdr:cNvPr id="69" name="Chart 4" descr="Chart type: Clustered Column, Line. 'Payoff ($)', 'Probability' by 'Growth Outcome'&#10;&#10;Description automatically generated">
          <a:extLst>
            <a:ext uri="{FF2B5EF4-FFF2-40B4-BE49-F238E27FC236}">
              <a16:creationId xmlns:a16="http://schemas.microsoft.com/office/drawing/2014/main" id="{001354B4-0238-30D3-5D6E-14C47D788760}"/>
            </a:ext>
            <a:ext uri="{147F2762-F138-4A5C-976F-8EAC2B608ADB}">
              <a16:predDERef xmlns:a16="http://schemas.microsoft.com/office/drawing/2014/main" pred="{B5D97078-E77D-8A13-373B-446493E9A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647700</xdr:colOff>
      <xdr:row>2</xdr:row>
      <xdr:rowOff>247650</xdr:rowOff>
    </xdr:from>
    <xdr:to>
      <xdr:col>23</xdr:col>
      <xdr:colOff>409575</xdr:colOff>
      <xdr:row>14</xdr:row>
      <xdr:rowOff>238125</xdr:rowOff>
    </xdr:to>
    <xdr:graphicFrame macro="">
      <xdr:nvGraphicFramePr>
        <xdr:cNvPr id="133" name="Chart 3" descr="Chart type: Clustered Column, Line. 'Payoff ($)', 'Probability' by 'Growth Outcome'&#10;&#10;Description automatically generated">
          <a:extLst>
            <a:ext uri="{FF2B5EF4-FFF2-40B4-BE49-F238E27FC236}">
              <a16:creationId xmlns:a16="http://schemas.microsoft.com/office/drawing/2014/main" id="{C8F96986-25C0-7867-1F5D-EF3CB10587EF}"/>
            </a:ext>
            <a:ext uri="{147F2762-F138-4A5C-976F-8EAC2B608ADB}">
              <a16:predDERef xmlns:a16="http://schemas.microsoft.com/office/drawing/2014/main" pred="{001354B4-0238-30D3-5D6E-14C47D788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28575</xdr:colOff>
      <xdr:row>2</xdr:row>
      <xdr:rowOff>276225</xdr:rowOff>
    </xdr:from>
    <xdr:to>
      <xdr:col>28</xdr:col>
      <xdr:colOff>752475</xdr:colOff>
      <xdr:row>14</xdr:row>
      <xdr:rowOff>266700</xdr:rowOff>
    </xdr:to>
    <xdr:graphicFrame macro="">
      <xdr:nvGraphicFramePr>
        <xdr:cNvPr id="194" name="Chart 4" descr="Chart type: Clustered Column, Line. 'Payoff ($)', 'Probability' by 'Growth Outcome'&#10;&#10;Description automatically generated">
          <a:extLst>
            <a:ext uri="{FF2B5EF4-FFF2-40B4-BE49-F238E27FC236}">
              <a16:creationId xmlns:a16="http://schemas.microsoft.com/office/drawing/2014/main" id="{1F3B615D-79A9-B86E-6A69-78769687765C}"/>
            </a:ext>
            <a:ext uri="{147F2762-F138-4A5C-976F-8EAC2B608ADB}">
              <a16:predDERef xmlns:a16="http://schemas.microsoft.com/office/drawing/2014/main" pred="{C8F96986-25C0-7867-1F5D-EF3CB1058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1238250</xdr:colOff>
      <xdr:row>200</xdr:row>
      <xdr:rowOff>161925</xdr:rowOff>
    </xdr:from>
    <xdr:to>
      <xdr:col>7</xdr:col>
      <xdr:colOff>1504950</xdr:colOff>
      <xdr:row>215</xdr:row>
      <xdr:rowOff>47625</xdr:rowOff>
    </xdr:to>
    <xdr:graphicFrame macro="">
      <xdr:nvGraphicFramePr>
        <xdr:cNvPr id="394" name="Chart 5" descr="Chart type: Scatter. Field: Probability and Field: Expected Payoff (+) appear highly correlated.&#10;&#10;Description automatically generated">
          <a:extLst>
            <a:ext uri="{FF2B5EF4-FFF2-40B4-BE49-F238E27FC236}">
              <a16:creationId xmlns:a16="http://schemas.microsoft.com/office/drawing/2014/main" id="{4BD5DC7A-0618-90FF-0C1B-61A32D116F9C}"/>
            </a:ext>
            <a:ext uri="{147F2762-F138-4A5C-976F-8EAC2B608ADB}">
              <a16:predDERef xmlns:a16="http://schemas.microsoft.com/office/drawing/2014/main" pred="{1F3B615D-79A9-B86E-6A69-787696877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342900</xdr:colOff>
      <xdr:row>200</xdr:row>
      <xdr:rowOff>180975</xdr:rowOff>
    </xdr:from>
    <xdr:to>
      <xdr:col>11</xdr:col>
      <xdr:colOff>142875</xdr:colOff>
      <xdr:row>215</xdr:row>
      <xdr:rowOff>66675</xdr:rowOff>
    </xdr:to>
    <xdr:graphicFrame macro="">
      <xdr:nvGraphicFramePr>
        <xdr:cNvPr id="509" name="Chart 6" descr="Chart type: Scatter. Field: Probability and Field: Expected Payoff (-) appear highly correlated.&#10;&#10;Description automatically generated">
          <a:extLst>
            <a:ext uri="{FF2B5EF4-FFF2-40B4-BE49-F238E27FC236}">
              <a16:creationId xmlns:a16="http://schemas.microsoft.com/office/drawing/2014/main" id="{65E1C307-BBDB-B757-8D63-AC7430059E0E}"/>
            </a:ext>
            <a:ext uri="{147F2762-F138-4A5C-976F-8EAC2B608ADB}">
              <a16:predDERef xmlns:a16="http://schemas.microsoft.com/office/drawing/2014/main" pred="{4BD5DC7A-0618-90FF-0C1B-61A32D116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352425</xdr:colOff>
      <xdr:row>215</xdr:row>
      <xdr:rowOff>85725</xdr:rowOff>
    </xdr:from>
    <xdr:to>
      <xdr:col>11</xdr:col>
      <xdr:colOff>152400</xdr:colOff>
      <xdr:row>229</xdr:row>
      <xdr:rowOff>161925</xdr:rowOff>
    </xdr:to>
    <xdr:graphicFrame macro="">
      <xdr:nvGraphicFramePr>
        <xdr:cNvPr id="516" name="Chart 10" descr="Chart type: Scatter. Field: Probability and Field: Expected Payoff (-) appear highly correlated.&#10;&#10;Description automatically generated">
          <a:extLst>
            <a:ext uri="{FF2B5EF4-FFF2-40B4-BE49-F238E27FC236}">
              <a16:creationId xmlns:a16="http://schemas.microsoft.com/office/drawing/2014/main" id="{D6A36516-1C70-7E43-E077-894A241EEC83}"/>
            </a:ext>
            <a:ext uri="{147F2762-F138-4A5C-976F-8EAC2B608ADB}">
              <a16:predDERef xmlns:a16="http://schemas.microsoft.com/office/drawing/2014/main" pred="{A0B8029F-F763-57AE-D56D-DAA9F4F1D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1266825</xdr:colOff>
      <xdr:row>231</xdr:row>
      <xdr:rowOff>123825</xdr:rowOff>
    </xdr:from>
    <xdr:to>
      <xdr:col>7</xdr:col>
      <xdr:colOff>1533525</xdr:colOff>
      <xdr:row>246</xdr:row>
      <xdr:rowOff>9525</xdr:rowOff>
    </xdr:to>
    <xdr:graphicFrame macro="">
      <xdr:nvGraphicFramePr>
        <xdr:cNvPr id="521" name="Chart 11" descr="Chart type: Scatter. 'Expected Payoff (+)' by 'Probability'&#10;&#10;Description automatically generated">
          <a:extLst>
            <a:ext uri="{FF2B5EF4-FFF2-40B4-BE49-F238E27FC236}">
              <a16:creationId xmlns:a16="http://schemas.microsoft.com/office/drawing/2014/main" id="{00C6DA2D-A847-523F-312E-F682792F323D}"/>
            </a:ext>
            <a:ext uri="{147F2762-F138-4A5C-976F-8EAC2B608ADB}">
              <a16:predDERef xmlns:a16="http://schemas.microsoft.com/office/drawing/2014/main" pred="{D6A36516-1C70-7E43-E077-894A241EE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161925</xdr:colOff>
      <xdr:row>231</xdr:row>
      <xdr:rowOff>142875</xdr:rowOff>
    </xdr:from>
    <xdr:to>
      <xdr:col>10</xdr:col>
      <xdr:colOff>1552575</xdr:colOff>
      <xdr:row>246</xdr:row>
      <xdr:rowOff>28575</xdr:rowOff>
    </xdr:to>
    <xdr:graphicFrame macro="">
      <xdr:nvGraphicFramePr>
        <xdr:cNvPr id="592" name="Chart 441" descr="Chart type: Scatter. Field: Probability and Field: Expected Payoff (-) appear highly correlated.&#10;&#10;Description automatically generated">
          <a:extLst>
            <a:ext uri="{FF2B5EF4-FFF2-40B4-BE49-F238E27FC236}">
              <a16:creationId xmlns:a16="http://schemas.microsoft.com/office/drawing/2014/main" id="{9BE15399-8875-A8A9-3C4D-AA306F883501}"/>
            </a:ext>
            <a:ext uri="{147F2762-F138-4A5C-976F-8EAC2B608ADB}">
              <a16:predDERef xmlns:a16="http://schemas.microsoft.com/office/drawing/2014/main" pred="{00C6DA2D-A847-523F-312E-F682792F3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28575</xdr:colOff>
      <xdr:row>216</xdr:row>
      <xdr:rowOff>0</xdr:rowOff>
    </xdr:from>
    <xdr:to>
      <xdr:col>8</xdr:col>
      <xdr:colOff>0</xdr:colOff>
      <xdr:row>230</xdr:row>
      <xdr:rowOff>76200</xdr:rowOff>
    </xdr:to>
    <xdr:graphicFrame macro="">
      <xdr:nvGraphicFramePr>
        <xdr:cNvPr id="659" name="Chart 93" descr="Chart type: Scatter. Field: Probability and Field: Expected Payoff (+) appear highly correlated.&#10;&#10;Description automatically generated">
          <a:extLst>
            <a:ext uri="{FF2B5EF4-FFF2-40B4-BE49-F238E27FC236}">
              <a16:creationId xmlns:a16="http://schemas.microsoft.com/office/drawing/2014/main" id="{31E2A68E-6CFE-0929-2934-68E94A16DE6E}"/>
            </a:ext>
            <a:ext uri="{147F2762-F138-4A5C-976F-8EAC2B608ADB}">
              <a16:predDERef xmlns:a16="http://schemas.microsoft.com/office/drawing/2014/main" pred="{9BE15399-8875-A8A9-3C4D-AA306F883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045A4E-9BDA-4001-BE2E-8D23D7626F69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S1dRI9AQGSA6j96Fzr9I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opedia.com/financial-edge/0412/the-best-portfolio-balance.aspx" TargetMode="External"/><Relationship Id="rId2" Type="http://schemas.openxmlformats.org/officeDocument/2006/relationships/hyperlink" Target="https://www.investopedia.com/articles/pf/06/riskyportfolio.asp" TargetMode="External"/><Relationship Id="rId1" Type="http://schemas.openxmlformats.org/officeDocument/2006/relationships/hyperlink" Target="https://www.statology.org/variance-of-probability-distribution/" TargetMode="External"/><Relationship Id="rId4" Type="http://schemas.openxmlformats.org/officeDocument/2006/relationships/hyperlink" Target="https://chatgp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topLeftCell="A88" workbookViewId="0">
      <selection activeCell="F108" sqref="F108"/>
    </sheetView>
  </sheetViews>
  <sheetFormatPr defaultColWidth="14.3984375" defaultRowHeight="15" customHeight="1"/>
  <cols>
    <col min="1" max="1" width="8.73046875" customWidth="1"/>
    <col min="2" max="2" width="14.1328125" customWidth="1"/>
    <col min="3" max="3" width="8.73046875" customWidth="1"/>
    <col min="4" max="4" width="11.3984375" customWidth="1"/>
    <col min="5" max="26" width="8.73046875" customWidth="1"/>
  </cols>
  <sheetData>
    <row r="1" spans="1:4" ht="14.25" customHeight="1">
      <c r="A1" s="44" t="s">
        <v>0</v>
      </c>
    </row>
    <row r="2" spans="1:4" ht="14.25" customHeight="1">
      <c r="A2" s="44" t="s">
        <v>1</v>
      </c>
    </row>
    <row r="3" spans="1:4" ht="14.25" customHeight="1">
      <c r="A3" s="1"/>
    </row>
    <row r="4" spans="1:4" ht="14.25" customHeight="1">
      <c r="A4" s="1" t="s">
        <v>2</v>
      </c>
    </row>
    <row r="5" spans="1:4" ht="14.25" customHeight="1"/>
    <row r="6" spans="1:4" ht="28.5">
      <c r="A6" s="3" t="s">
        <v>3</v>
      </c>
      <c r="B6" s="3" t="s">
        <v>4</v>
      </c>
      <c r="C6" s="3" t="s">
        <v>5</v>
      </c>
      <c r="D6" s="3" t="s">
        <v>6</v>
      </c>
    </row>
    <row r="7" spans="1:4" ht="14.25" customHeight="1">
      <c r="A7" s="98" t="s">
        <v>7</v>
      </c>
      <c r="B7" s="90" t="s">
        <v>8</v>
      </c>
      <c r="C7" s="91">
        <v>300000</v>
      </c>
      <c r="D7" s="90">
        <v>0.2</v>
      </c>
    </row>
    <row r="8" spans="1:4" ht="14.25" customHeight="1">
      <c r="A8" s="99"/>
      <c r="B8" s="90" t="s">
        <v>9</v>
      </c>
      <c r="C8" s="91">
        <v>120000</v>
      </c>
      <c r="D8" s="90">
        <v>0.5</v>
      </c>
    </row>
    <row r="9" spans="1:4" ht="14.25" customHeight="1">
      <c r="A9" s="99"/>
      <c r="B9" s="90" t="s">
        <v>10</v>
      </c>
      <c r="C9" s="91">
        <v>30000</v>
      </c>
      <c r="D9" s="90">
        <v>0.25</v>
      </c>
    </row>
    <row r="10" spans="1:4" ht="14.25" customHeight="1">
      <c r="A10" s="99"/>
      <c r="B10" s="90" t="s">
        <v>11</v>
      </c>
      <c r="C10" s="91">
        <v>-100000</v>
      </c>
      <c r="D10" s="90">
        <v>0.05</v>
      </c>
    </row>
    <row r="11" spans="1:4" ht="14.25" customHeight="1">
      <c r="A11" s="98" t="s">
        <v>12</v>
      </c>
      <c r="B11" s="90" t="s">
        <v>8</v>
      </c>
      <c r="C11" s="91">
        <v>400000</v>
      </c>
      <c r="D11" s="90">
        <v>0.15</v>
      </c>
    </row>
    <row r="12" spans="1:4" ht="14.25" customHeight="1">
      <c r="A12" s="99"/>
      <c r="B12" s="90" t="s">
        <v>9</v>
      </c>
      <c r="C12" s="91">
        <v>150000</v>
      </c>
      <c r="D12" s="90">
        <v>0.5</v>
      </c>
    </row>
    <row r="13" spans="1:4" ht="14.25" customHeight="1">
      <c r="A13" s="99"/>
      <c r="B13" s="90" t="s">
        <v>10</v>
      </c>
      <c r="C13" s="91">
        <v>50000</v>
      </c>
      <c r="D13" s="90">
        <v>0.25</v>
      </c>
    </row>
    <row r="14" spans="1:4" ht="14.25" customHeight="1">
      <c r="A14" s="99"/>
      <c r="B14" s="90" t="s">
        <v>11</v>
      </c>
      <c r="C14" s="91">
        <v>-80000</v>
      </c>
      <c r="D14" s="90">
        <v>0.1</v>
      </c>
    </row>
    <row r="15" spans="1:4" ht="14.25" customHeight="1">
      <c r="A15" s="98" t="s">
        <v>13</v>
      </c>
      <c r="B15" s="90" t="s">
        <v>8</v>
      </c>
      <c r="C15" s="91">
        <v>250000</v>
      </c>
      <c r="D15" s="90">
        <v>0.25</v>
      </c>
    </row>
    <row r="16" spans="1:4" ht="14.25" customHeight="1">
      <c r="A16" s="99"/>
      <c r="B16" s="90" t="s">
        <v>9</v>
      </c>
      <c r="C16" s="91">
        <v>90000</v>
      </c>
      <c r="D16" s="90">
        <v>0.5</v>
      </c>
    </row>
    <row r="17" spans="1:4" ht="14.25" customHeight="1">
      <c r="A17" s="99"/>
      <c r="B17" s="90" t="s">
        <v>10</v>
      </c>
      <c r="C17" s="91">
        <v>20000</v>
      </c>
      <c r="D17" s="90">
        <v>0.15</v>
      </c>
    </row>
    <row r="18" spans="1:4" ht="14.25" customHeight="1">
      <c r="A18" s="99"/>
      <c r="B18" s="90" t="s">
        <v>11</v>
      </c>
      <c r="C18" s="91">
        <v>-60000</v>
      </c>
      <c r="D18" s="90">
        <v>0.1</v>
      </c>
    </row>
    <row r="19" spans="1:4" ht="14.25" customHeight="1"/>
    <row r="20" spans="1:4" ht="14.25" customHeight="1">
      <c r="A20" s="1" t="s">
        <v>14</v>
      </c>
    </row>
    <row r="21" spans="1:4" ht="14.25" customHeight="1">
      <c r="A21" s="44" t="s">
        <v>15</v>
      </c>
    </row>
    <row r="22" spans="1:4" ht="14.25" customHeight="1"/>
    <row r="23" spans="1:4" ht="14.25" customHeight="1">
      <c r="A23" s="11" t="s">
        <v>16</v>
      </c>
    </row>
    <row r="24" spans="1:4" ht="14.25" customHeight="1">
      <c r="A24" s="12" t="s">
        <v>17</v>
      </c>
    </row>
    <row r="25" spans="1:4" ht="14.25" customHeight="1"/>
    <row r="26" spans="1:4" ht="14.25" customHeight="1">
      <c r="A26" s="13"/>
      <c r="B26" s="44" t="s">
        <v>18</v>
      </c>
    </row>
    <row r="27" spans="1:4" ht="14.25" customHeight="1">
      <c r="A27" s="12"/>
    </row>
    <row r="28" spans="1:4" ht="14.25" customHeight="1">
      <c r="A28" s="92" t="s">
        <v>19</v>
      </c>
    </row>
    <row r="29" spans="1:4" ht="14.25" customHeight="1">
      <c r="A29" s="13"/>
    </row>
    <row r="30" spans="1:4" ht="14.25" customHeight="1">
      <c r="A30" s="13"/>
    </row>
    <row r="31" spans="1:4" ht="14.25" customHeight="1">
      <c r="A31" s="112" t="s">
        <v>162</v>
      </c>
    </row>
    <row r="32" spans="1:4" ht="14.25" customHeight="1"/>
    <row r="33" spans="1:1" ht="14.25" customHeight="1">
      <c r="A33" s="113" t="s">
        <v>163</v>
      </c>
    </row>
    <row r="34" spans="1:1" ht="14.25" customHeight="1">
      <c r="A34" s="114"/>
    </row>
    <row r="35" spans="1:1" ht="14.25" customHeight="1">
      <c r="A35" s="115" t="s">
        <v>164</v>
      </c>
    </row>
    <row r="36" spans="1:1" ht="14.25" customHeight="1">
      <c r="A36" s="115" t="s">
        <v>165</v>
      </c>
    </row>
    <row r="37" spans="1:1" ht="14.25" customHeight="1">
      <c r="A37" s="115" t="s">
        <v>166</v>
      </c>
    </row>
    <row r="38" spans="1:1" ht="14.25" customHeight="1">
      <c r="A38" s="115" t="s">
        <v>11</v>
      </c>
    </row>
    <row r="39" spans="1:1" ht="14.25" customHeight="1"/>
    <row r="40" spans="1:1" ht="14.25" customHeight="1"/>
    <row r="41" spans="1:1" ht="14.25" customHeight="1"/>
    <row r="42" spans="1:1" ht="14.25" customHeight="1">
      <c r="A42" s="112" t="s">
        <v>167</v>
      </c>
    </row>
    <row r="43" spans="1:1" ht="14.25" customHeight="1"/>
    <row r="44" spans="1:1" ht="14.25" customHeight="1">
      <c r="A44" s="116" t="s">
        <v>168</v>
      </c>
    </row>
    <row r="45" spans="1:1" ht="14.25" customHeight="1"/>
    <row r="46" spans="1:1" ht="14.25" customHeight="1">
      <c r="A46" s="113" t="s">
        <v>169</v>
      </c>
    </row>
    <row r="47" spans="1:1" ht="14.25" customHeight="1">
      <c r="A47" s="114"/>
    </row>
    <row r="48" spans="1:1" ht="14.25" customHeight="1">
      <c r="A48" s="115" t="s">
        <v>170</v>
      </c>
    </row>
    <row r="49" spans="1:1" ht="14.25" customHeight="1">
      <c r="A49" s="117" t="s">
        <v>171</v>
      </c>
    </row>
    <row r="50" spans="1:1" ht="14.25" customHeight="1">
      <c r="A50" s="117" t="s">
        <v>33</v>
      </c>
    </row>
    <row r="51" spans="1:1" ht="14.25" customHeight="1">
      <c r="A51" s="117" t="s">
        <v>34</v>
      </c>
    </row>
    <row r="52" spans="1:1" ht="14.25" customHeight="1">
      <c r="A52" s="117" t="s">
        <v>172</v>
      </c>
    </row>
    <row r="53" spans="1:1" ht="14.25" customHeight="1">
      <c r="A53" s="115" t="s">
        <v>173</v>
      </c>
    </row>
    <row r="54" spans="1:1" ht="14.25" customHeight="1"/>
    <row r="55" spans="1:1" ht="14.25" customHeight="1"/>
    <row r="56" spans="1:1" ht="14.25" customHeight="1"/>
    <row r="57" spans="1:1" ht="14.25" customHeight="1">
      <c r="A57" s="116" t="s">
        <v>174</v>
      </c>
    </row>
    <row r="58" spans="1:1" ht="14.25" customHeight="1">
      <c r="A58" s="114"/>
    </row>
    <row r="59" spans="1:1" ht="14.25" customHeight="1">
      <c r="A59" s="115" t="s">
        <v>175</v>
      </c>
    </row>
    <row r="60" spans="1:1" ht="14.25" customHeight="1">
      <c r="A60" s="115" t="s">
        <v>176</v>
      </c>
    </row>
    <row r="61" spans="1:1" ht="14.25" customHeight="1"/>
    <row r="62" spans="1:1" ht="14.25" customHeight="1"/>
    <row r="63" spans="1:1" ht="14.25" customHeight="1"/>
    <row r="64" spans="1:1" ht="14.25" customHeight="1">
      <c r="A64" s="112" t="s">
        <v>177</v>
      </c>
    </row>
    <row r="65" spans="1:1" ht="14.25" customHeight="1"/>
    <row r="66" spans="1:1" ht="14.25" customHeight="1">
      <c r="A66" s="116" t="s">
        <v>178</v>
      </c>
    </row>
    <row r="67" spans="1:1" ht="14.25" customHeight="1">
      <c r="A67" s="114"/>
    </row>
    <row r="68" spans="1:1" ht="14.25" customHeight="1">
      <c r="A68" s="115" t="s">
        <v>179</v>
      </c>
    </row>
    <row r="69" spans="1:1" ht="14.25" customHeight="1">
      <c r="A69" s="117" t="s">
        <v>180</v>
      </c>
    </row>
    <row r="70" spans="1:1" ht="14.25" customHeight="1">
      <c r="A70" s="115" t="s">
        <v>181</v>
      </c>
    </row>
    <row r="71" spans="1:1" ht="14.25" customHeight="1">
      <c r="A71" s="115" t="s">
        <v>182</v>
      </c>
    </row>
    <row r="72" spans="1:1" ht="14.25" customHeight="1"/>
    <row r="73" spans="1:1" ht="14.25" customHeight="1"/>
    <row r="74" spans="1:1" ht="14.25" customHeight="1"/>
    <row r="75" spans="1:1" ht="14.25" customHeight="1">
      <c r="A75" s="116" t="s">
        <v>183</v>
      </c>
    </row>
    <row r="76" spans="1:1" ht="14.25" customHeight="1">
      <c r="A76" s="114"/>
    </row>
    <row r="77" spans="1:1" ht="14.25" customHeight="1">
      <c r="A77" s="115" t="s">
        <v>184</v>
      </c>
    </row>
    <row r="78" spans="1:1" ht="14.25" customHeight="1">
      <c r="A78" s="117" t="s">
        <v>185</v>
      </c>
    </row>
    <row r="79" spans="1:1" ht="14.25" customHeight="1">
      <c r="A79" s="117" t="s">
        <v>186</v>
      </c>
    </row>
    <row r="80" spans="1:1" ht="14.25" customHeight="1"/>
    <row r="81" spans="1:1" ht="14.25" customHeight="1"/>
    <row r="82" spans="1:1" ht="14.25" customHeight="1"/>
    <row r="83" spans="1:1" ht="14.25" customHeight="1">
      <c r="A83" s="112" t="s">
        <v>187</v>
      </c>
    </row>
    <row r="84" spans="1:1" ht="14.25" customHeight="1"/>
    <row r="85" spans="1:1" ht="14.25" customHeight="1">
      <c r="A85" s="113" t="s">
        <v>188</v>
      </c>
    </row>
    <row r="86" spans="1:1" ht="14.25" customHeight="1"/>
    <row r="87" spans="1:1" ht="14.25" customHeight="1">
      <c r="A87" s="116" t="s">
        <v>189</v>
      </c>
    </row>
    <row r="88" spans="1:1" ht="14.25" customHeight="1">
      <c r="A88" s="114"/>
    </row>
    <row r="89" spans="1:1" ht="14.25" customHeight="1">
      <c r="A89" s="115" t="s">
        <v>190</v>
      </c>
    </row>
    <row r="90" spans="1:1" ht="14.25" customHeight="1"/>
    <row r="91" spans="1:1" ht="14.25" customHeight="1">
      <c r="A91" s="116" t="s">
        <v>191</v>
      </c>
    </row>
    <row r="92" spans="1:1" ht="14.25" customHeight="1">
      <c r="A92" s="114"/>
    </row>
    <row r="93" spans="1:1" ht="14.25" customHeight="1">
      <c r="A93" s="115" t="s">
        <v>192</v>
      </c>
    </row>
    <row r="94" spans="1:1" ht="14.25" customHeight="1"/>
    <row r="95" spans="1:1" ht="14.25" customHeight="1">
      <c r="A95" s="116" t="s">
        <v>193</v>
      </c>
    </row>
    <row r="96" spans="1:1" ht="14.25" customHeight="1">
      <c r="A96" s="114"/>
    </row>
    <row r="97" spans="1:1" ht="14.25" customHeight="1">
      <c r="A97" s="115" t="s">
        <v>194</v>
      </c>
    </row>
    <row r="98" spans="1:1" ht="14.25" customHeight="1"/>
    <row r="99" spans="1:1" ht="14.25" customHeight="1">
      <c r="A99" s="116" t="s">
        <v>195</v>
      </c>
    </row>
    <row r="100" spans="1:1" ht="14.25" customHeight="1">
      <c r="A100" s="114"/>
    </row>
    <row r="101" spans="1:1" ht="14.25" customHeight="1">
      <c r="A101" s="115" t="s">
        <v>196</v>
      </c>
    </row>
    <row r="102" spans="1:1" ht="14.25" customHeight="1"/>
    <row r="103" spans="1:1" ht="14.25" customHeight="1"/>
    <row r="104" spans="1:1" ht="14.25" customHeight="1"/>
    <row r="105" spans="1:1" ht="14.25" customHeight="1">
      <c r="A105" s="112" t="s">
        <v>197</v>
      </c>
    </row>
    <row r="106" spans="1:1" ht="14.25" customHeight="1">
      <c r="A106" s="114"/>
    </row>
    <row r="107" spans="1:1" ht="14.25" customHeight="1">
      <c r="A107" s="115" t="s">
        <v>198</v>
      </c>
    </row>
    <row r="108" spans="1:1" ht="14.25" customHeight="1">
      <c r="A108" s="115" t="s">
        <v>199</v>
      </c>
    </row>
    <row r="109" spans="1:1" ht="14.25" customHeight="1">
      <c r="A109" s="117" t="s">
        <v>200</v>
      </c>
    </row>
    <row r="110" spans="1:1" ht="14.25" customHeight="1">
      <c r="A110" s="117" t="s">
        <v>201</v>
      </c>
    </row>
    <row r="111" spans="1:1" ht="14.25" customHeight="1">
      <c r="A111" s="117" t="s">
        <v>202</v>
      </c>
    </row>
    <row r="112" spans="1:1" ht="14.25" customHeight="1">
      <c r="A112" s="117" t="s">
        <v>203</v>
      </c>
    </row>
    <row r="113" spans="1:1" ht="14.25" customHeight="1"/>
    <row r="114" spans="1:1" ht="14.25" customHeight="1"/>
    <row r="115" spans="1:1" ht="14.25" customHeight="1"/>
    <row r="116" spans="1:1" ht="14.25" customHeight="1">
      <c r="A116" s="112" t="s">
        <v>208</v>
      </c>
    </row>
    <row r="117" spans="1:1" ht="14.25" customHeight="1"/>
    <row r="118" spans="1:1" ht="14.25" customHeight="1">
      <c r="A118" s="116" t="s">
        <v>204</v>
      </c>
    </row>
    <row r="119" spans="1:1" ht="14.25" customHeight="1">
      <c r="A119" s="114"/>
    </row>
    <row r="120" spans="1:1" ht="14.25" customHeight="1">
      <c r="A120" s="115" t="s">
        <v>205</v>
      </c>
    </row>
    <row r="121" spans="1:1" ht="14.25" customHeight="1">
      <c r="A121" s="115" t="s">
        <v>206</v>
      </c>
    </row>
    <row r="122" spans="1:1" ht="14.25" customHeight="1">
      <c r="A122" s="115" t="s">
        <v>207</v>
      </c>
    </row>
    <row r="123" spans="1:1" ht="14.25" customHeight="1"/>
    <row r="124" spans="1:1" ht="14.25" customHeight="1"/>
    <row r="125" spans="1:1" ht="14.25" customHeight="1"/>
    <row r="126" spans="1:1" ht="14.25" customHeight="1"/>
    <row r="127" spans="1:1" ht="14.25" customHeight="1"/>
    <row r="128" spans="1:1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7:A10"/>
    <mergeCell ref="A11:A14"/>
    <mergeCell ref="A15:A1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8C15-399A-4BC7-9FD7-A8C03D9EF1FC}">
  <sheetPr>
    <outlinePr summaryBelow="0" summaryRight="0"/>
  </sheetPr>
  <dimension ref="A1:M260"/>
  <sheetViews>
    <sheetView topLeftCell="L1" zoomScale="64" workbookViewId="0">
      <selection activeCell="R215" sqref="R215"/>
    </sheetView>
  </sheetViews>
  <sheetFormatPr defaultColWidth="14.3984375" defaultRowHeight="15" customHeight="1"/>
  <cols>
    <col min="1" max="1" width="32.3984375" customWidth="1"/>
    <col min="2" max="2" width="17.265625" customWidth="1"/>
    <col min="3" max="3" width="20" customWidth="1"/>
    <col min="4" max="4" width="14.86328125" bestFit="1" customWidth="1"/>
    <col min="5" max="5" width="19.3984375" customWidth="1"/>
    <col min="6" max="6" width="21.265625" customWidth="1"/>
    <col min="7" max="11" width="23.86328125" customWidth="1"/>
    <col min="12" max="12" width="32.265625" customWidth="1"/>
    <col min="13" max="13" width="14" customWidth="1"/>
  </cols>
  <sheetData>
    <row r="1" spans="1:13" ht="14.25">
      <c r="A1" s="12" t="s">
        <v>17</v>
      </c>
    </row>
    <row r="2" spans="1:13" ht="15" customHeight="1">
      <c r="H2" s="53"/>
    </row>
    <row r="3" spans="1:13" ht="25.5" customHeight="1">
      <c r="A3" s="2" t="s">
        <v>3</v>
      </c>
      <c r="B3" s="2" t="s">
        <v>4</v>
      </c>
      <c r="C3" s="3" t="s">
        <v>5</v>
      </c>
      <c r="D3" s="4" t="s">
        <v>6</v>
      </c>
      <c r="E3" s="24" t="s">
        <v>30</v>
      </c>
      <c r="F3" s="3" t="s">
        <v>31</v>
      </c>
      <c r="G3" s="3" t="s">
        <v>32</v>
      </c>
      <c r="H3" s="48" t="s">
        <v>33</v>
      </c>
      <c r="I3" s="3" t="s">
        <v>34</v>
      </c>
      <c r="J3" s="3" t="s">
        <v>35</v>
      </c>
      <c r="K3" s="16"/>
    </row>
    <row r="4" spans="1:13" ht="15.75" customHeight="1">
      <c r="A4" s="100" t="s">
        <v>7</v>
      </c>
      <c r="B4" s="5" t="s">
        <v>8</v>
      </c>
      <c r="C4" s="6">
        <v>300000</v>
      </c>
      <c r="D4" s="5">
        <v>0.2</v>
      </c>
      <c r="E4">
        <f>C4*D4</f>
        <v>60000</v>
      </c>
      <c r="F4" s="102">
        <f>SUM(E4:E7)</f>
        <v>122500</v>
      </c>
      <c r="G4" s="23">
        <f>((C4-$F$4)^2 *D4)</f>
        <v>6301250000</v>
      </c>
      <c r="H4" s="103">
        <f>SUM(G4:G7)</f>
        <v>10918750000</v>
      </c>
      <c r="I4" s="103">
        <f>SQRT(H4)</f>
        <v>104492.82272003184</v>
      </c>
      <c r="J4" s="103">
        <f>F4/I4</f>
        <v>1.172329321873282</v>
      </c>
      <c r="K4" s="16"/>
    </row>
    <row r="5" spans="1:13" ht="18.75" customHeight="1">
      <c r="A5" s="100"/>
      <c r="B5" s="7" t="s">
        <v>9</v>
      </c>
      <c r="C5" s="8">
        <v>120000</v>
      </c>
      <c r="D5" s="7">
        <v>0.5</v>
      </c>
      <c r="E5">
        <f>C5*D5</f>
        <v>60000</v>
      </c>
      <c r="F5" s="102"/>
      <c r="G5" s="23">
        <f>((C5-$F$4)^2 *D5)</f>
        <v>3125000</v>
      </c>
      <c r="H5" s="103"/>
      <c r="I5" s="103"/>
      <c r="J5" s="103"/>
      <c r="K5" s="16"/>
    </row>
    <row r="6" spans="1:13" ht="14.25">
      <c r="A6" s="100"/>
      <c r="B6" s="7" t="s">
        <v>10</v>
      </c>
      <c r="C6" s="8">
        <v>30000</v>
      </c>
      <c r="D6" s="7">
        <v>0.25</v>
      </c>
      <c r="E6">
        <f>C6*D6</f>
        <v>7500</v>
      </c>
      <c r="F6" s="102"/>
      <c r="G6" s="23">
        <f t="shared" ref="G6:G7" si="0">((C6-$F$4)^2 *D6)</f>
        <v>2139062500</v>
      </c>
      <c r="H6" s="103"/>
      <c r="I6" s="103"/>
      <c r="J6" s="103"/>
      <c r="K6" s="16"/>
    </row>
    <row r="7" spans="1:13" ht="14.25">
      <c r="A7" s="100"/>
      <c r="B7" s="9" t="s">
        <v>11</v>
      </c>
      <c r="C7" s="10">
        <v>-100000</v>
      </c>
      <c r="D7" s="9">
        <v>0.05</v>
      </c>
      <c r="E7" s="56">
        <f>C7*D7</f>
        <v>-5000</v>
      </c>
      <c r="F7" s="102"/>
      <c r="G7" s="23">
        <f t="shared" si="0"/>
        <v>2475312500</v>
      </c>
      <c r="H7" s="103"/>
      <c r="I7" s="103"/>
      <c r="J7" s="103"/>
      <c r="K7" s="16"/>
      <c r="L7" s="18"/>
    </row>
    <row r="9" spans="1:13" ht="32.25" customHeight="1">
      <c r="A9" s="2" t="s">
        <v>3</v>
      </c>
      <c r="B9" s="2" t="s">
        <v>4</v>
      </c>
      <c r="C9" s="3" t="s">
        <v>5</v>
      </c>
      <c r="D9" s="4" t="s">
        <v>6</v>
      </c>
      <c r="E9" s="24" t="s">
        <v>30</v>
      </c>
      <c r="F9" s="3" t="s">
        <v>36</v>
      </c>
      <c r="G9" s="3" t="s">
        <v>32</v>
      </c>
      <c r="H9" s="48" t="s">
        <v>33</v>
      </c>
      <c r="I9" s="3" t="s">
        <v>34</v>
      </c>
      <c r="J9" s="3" t="s">
        <v>35</v>
      </c>
    </row>
    <row r="10" spans="1:13" ht="14.25">
      <c r="A10" s="101" t="s">
        <v>12</v>
      </c>
      <c r="B10" s="7" t="s">
        <v>8</v>
      </c>
      <c r="C10" s="8">
        <v>400000</v>
      </c>
      <c r="D10" s="7">
        <v>0.15</v>
      </c>
      <c r="E10" s="44">
        <f t="shared" ref="E10:E13" si="1">C10*D10</f>
        <v>60000</v>
      </c>
      <c r="F10" s="102">
        <f>SUM(E10:E13)</f>
        <v>139500</v>
      </c>
      <c r="G10" s="23">
        <f>(C10-$F$10)^2 *D10</f>
        <v>10179037500</v>
      </c>
      <c r="H10" s="103">
        <f>SUM(G10:G13)</f>
        <v>17054750000</v>
      </c>
      <c r="I10" s="103">
        <f>SQRT(H10)</f>
        <v>130593.83599542515</v>
      </c>
      <c r="J10" s="103">
        <f>F10/I10</f>
        <v>1.0681974301213331</v>
      </c>
      <c r="K10" s="22"/>
      <c r="L10" s="3" t="s">
        <v>37</v>
      </c>
      <c r="M10" s="19">
        <f xml:space="preserve"> MAX(F4,F10,F16)</f>
        <v>139500</v>
      </c>
    </row>
    <row r="11" spans="1:13" ht="14.25">
      <c r="A11" s="101"/>
      <c r="B11" s="7" t="s">
        <v>9</v>
      </c>
      <c r="C11" s="8">
        <v>150000</v>
      </c>
      <c r="D11" s="7">
        <v>0.5</v>
      </c>
      <c r="E11" s="44">
        <f t="shared" si="1"/>
        <v>75000</v>
      </c>
      <c r="F11" s="102"/>
      <c r="G11" s="23">
        <f>(C11-$F$10)^2 *D11</f>
        <v>55125000</v>
      </c>
      <c r="H11" s="103"/>
      <c r="I11" s="103"/>
      <c r="J11" s="103"/>
      <c r="K11" s="22"/>
      <c r="L11" s="3" t="s">
        <v>38</v>
      </c>
      <c r="M11" s="19">
        <f>F4-M10</f>
        <v>-17000</v>
      </c>
    </row>
    <row r="12" spans="1:13" ht="14.25">
      <c r="A12" s="101"/>
      <c r="B12" s="7" t="s">
        <v>10</v>
      </c>
      <c r="C12" s="8">
        <v>50000</v>
      </c>
      <c r="D12" s="7">
        <v>0.25</v>
      </c>
      <c r="E12" s="44">
        <f t="shared" si="1"/>
        <v>12500</v>
      </c>
      <c r="F12" s="102"/>
      <c r="G12" s="23">
        <f>(C12-$F$10)^2 *D12</f>
        <v>2002562500</v>
      </c>
      <c r="H12" s="103"/>
      <c r="I12" s="103"/>
      <c r="J12" s="103"/>
      <c r="K12" s="22"/>
      <c r="L12" s="3" t="s">
        <v>39</v>
      </c>
      <c r="M12" s="19">
        <f>F16-M10</f>
        <v>-35000</v>
      </c>
    </row>
    <row r="13" spans="1:13" ht="14.25">
      <c r="A13" s="101"/>
      <c r="B13" s="9" t="s">
        <v>11</v>
      </c>
      <c r="C13" s="10">
        <v>-80000</v>
      </c>
      <c r="D13" s="9">
        <v>0.1</v>
      </c>
      <c r="E13" s="45">
        <f t="shared" si="1"/>
        <v>-8000</v>
      </c>
      <c r="F13" s="102"/>
      <c r="G13" s="23">
        <f>(C13-$F$10)^2 *D13</f>
        <v>4818025000</v>
      </c>
      <c r="H13" s="103"/>
      <c r="I13" s="103"/>
      <c r="J13" s="103"/>
      <c r="K13" s="22"/>
      <c r="L13" s="3" t="s">
        <v>40</v>
      </c>
      <c r="M13" s="19">
        <f>I16</f>
        <v>95784.915305072966</v>
      </c>
    </row>
    <row r="14" spans="1:13" ht="15" customHeight="1">
      <c r="L14" s="18"/>
    </row>
    <row r="15" spans="1:13" ht="34.5" customHeight="1">
      <c r="A15" s="2" t="s">
        <v>3</v>
      </c>
      <c r="B15" s="2" t="s">
        <v>4</v>
      </c>
      <c r="C15" s="3" t="s">
        <v>5</v>
      </c>
      <c r="D15" s="24" t="s">
        <v>6</v>
      </c>
      <c r="E15" s="3" t="s">
        <v>30</v>
      </c>
      <c r="F15" s="3" t="s">
        <v>36</v>
      </c>
      <c r="G15" s="3" t="s">
        <v>32</v>
      </c>
      <c r="H15" s="48" t="s">
        <v>33</v>
      </c>
      <c r="I15" s="3" t="s">
        <v>34</v>
      </c>
      <c r="J15" s="3" t="s">
        <v>35</v>
      </c>
      <c r="K15" s="16"/>
    </row>
    <row r="16" spans="1:13" ht="14.25">
      <c r="A16" s="100" t="s">
        <v>13</v>
      </c>
      <c r="B16" s="5" t="s">
        <v>8</v>
      </c>
      <c r="C16" s="6">
        <v>250000</v>
      </c>
      <c r="D16" s="5">
        <v>0.25</v>
      </c>
      <c r="E16" s="46">
        <f t="shared" ref="E16:E19" si="2">C16*D16</f>
        <v>62500</v>
      </c>
      <c r="F16" s="102">
        <f>SUM(E16:E19)</f>
        <v>104500</v>
      </c>
      <c r="G16" s="23">
        <f>(C16-$F$16)^2 *D16</f>
        <v>5292562500</v>
      </c>
      <c r="H16" s="103">
        <f>SUM(G16:G19)</f>
        <v>9174750000</v>
      </c>
      <c r="I16" s="103">
        <f>SQRT(H16)</f>
        <v>95784.915305072966</v>
      </c>
      <c r="J16" s="103">
        <f>F16/I16</f>
        <v>1.0909859832017357</v>
      </c>
      <c r="K16" s="22"/>
    </row>
    <row r="17" spans="1:12" ht="14.25">
      <c r="A17" s="100"/>
      <c r="B17" s="7" t="s">
        <v>9</v>
      </c>
      <c r="C17" s="8">
        <v>90000</v>
      </c>
      <c r="D17" s="7">
        <v>0.5</v>
      </c>
      <c r="E17" s="46">
        <f t="shared" si="2"/>
        <v>45000</v>
      </c>
      <c r="F17" s="102"/>
      <c r="G17" s="23">
        <f>(C17-$F$16)^2 *D17</f>
        <v>105125000</v>
      </c>
      <c r="H17" s="103"/>
      <c r="I17" s="103"/>
      <c r="J17" s="103"/>
      <c r="K17" s="22"/>
    </row>
    <row r="18" spans="1:12" ht="14.25">
      <c r="A18" s="100"/>
      <c r="B18" s="7" t="s">
        <v>10</v>
      </c>
      <c r="C18" s="8">
        <v>20000</v>
      </c>
      <c r="D18" s="7">
        <v>0.15</v>
      </c>
      <c r="E18" s="46">
        <f t="shared" si="2"/>
        <v>3000</v>
      </c>
      <c r="F18" s="102"/>
      <c r="G18" s="23">
        <f>(C18-$F$16)^2 *D18</f>
        <v>1071037500</v>
      </c>
      <c r="H18" s="103"/>
      <c r="I18" s="103"/>
      <c r="J18" s="103"/>
      <c r="K18" s="22"/>
    </row>
    <row r="19" spans="1:12" ht="14.25">
      <c r="A19" s="100"/>
      <c r="B19" s="9" t="s">
        <v>11</v>
      </c>
      <c r="C19" s="10">
        <v>-60000</v>
      </c>
      <c r="D19" s="9">
        <v>0.1</v>
      </c>
      <c r="E19" s="46">
        <f t="shared" si="2"/>
        <v>-6000</v>
      </c>
      <c r="F19" s="102"/>
      <c r="G19" s="23">
        <f>(C19-$F$16)^2 *D19</f>
        <v>2706025000</v>
      </c>
      <c r="H19" s="103"/>
      <c r="I19" s="103"/>
      <c r="J19" s="103"/>
      <c r="K19" s="22"/>
    </row>
    <row r="21" spans="1:12" ht="14.25">
      <c r="A21" s="92" t="s">
        <v>19</v>
      </c>
    </row>
    <row r="22" spans="1:12" ht="14.25">
      <c r="A22" s="12"/>
    </row>
    <row r="23" spans="1:12" ht="15" customHeight="1">
      <c r="A23" s="14" t="s">
        <v>41</v>
      </c>
    </row>
    <row r="24" spans="1:12" ht="15" customHeight="1">
      <c r="A24" s="20" t="s">
        <v>3</v>
      </c>
      <c r="B24" s="20" t="s">
        <v>4</v>
      </c>
      <c r="C24" s="21" t="s">
        <v>5</v>
      </c>
      <c r="D24" s="35" t="s">
        <v>6</v>
      </c>
      <c r="E24" s="36" t="s">
        <v>42</v>
      </c>
      <c r="F24" s="37" t="s">
        <v>43</v>
      </c>
      <c r="G24" s="37" t="s">
        <v>44</v>
      </c>
      <c r="H24" s="47" t="s">
        <v>45</v>
      </c>
      <c r="I24" s="37" t="s">
        <v>46</v>
      </c>
      <c r="J24" s="37" t="s">
        <v>47</v>
      </c>
      <c r="K24" s="37" t="s">
        <v>48</v>
      </c>
      <c r="L24" s="37" t="s">
        <v>49</v>
      </c>
    </row>
    <row r="25" spans="1:12" ht="13.5" customHeight="1">
      <c r="A25" s="100" t="s">
        <v>7</v>
      </c>
      <c r="B25" s="27" t="s">
        <v>8</v>
      </c>
      <c r="C25" s="28">
        <v>300000</v>
      </c>
      <c r="D25" s="27">
        <v>0.2</v>
      </c>
      <c r="E25" s="29">
        <f>D25+0.1</f>
        <v>0.30000000000000004</v>
      </c>
      <c r="F25" s="29">
        <f>D25-0.1</f>
        <v>0.1</v>
      </c>
      <c r="G25" s="29">
        <f>C25*E25</f>
        <v>90000.000000000015</v>
      </c>
      <c r="H25" s="29">
        <f>C25*D25</f>
        <v>60000</v>
      </c>
      <c r="I25" s="29">
        <f>C25*F25</f>
        <v>30000</v>
      </c>
      <c r="J25" s="29">
        <f>SUM(G25:G28)</f>
        <v>144687.5</v>
      </c>
      <c r="K25" s="29">
        <f>SUM(H25:H28)</f>
        <v>122500</v>
      </c>
      <c r="L25" s="29">
        <f>SUM(I25:I28)</f>
        <v>100312.5</v>
      </c>
    </row>
    <row r="26" spans="1:12" ht="21" customHeight="1">
      <c r="A26" s="100"/>
      <c r="B26" s="38" t="s">
        <v>9</v>
      </c>
      <c r="C26" s="39">
        <v>120000</v>
      </c>
      <c r="D26" s="38">
        <v>0.5</v>
      </c>
      <c r="E26" s="40">
        <f t="shared" ref="E26:F28" si="3">$D26*((1-E$25)/SUM($D$26:$D$28))</f>
        <v>0.43749999999999994</v>
      </c>
      <c r="F26" s="40">
        <f t="shared" si="3"/>
        <v>0.5625</v>
      </c>
      <c r="G26" s="40">
        <f t="shared" ref="G26:G28" si="4">C26*E26</f>
        <v>52499.999999999993</v>
      </c>
      <c r="H26" s="40">
        <f t="shared" ref="H26:H28" si="5">C26*D26</f>
        <v>60000</v>
      </c>
      <c r="I26" s="40">
        <f>C26*F26</f>
        <v>67500</v>
      </c>
      <c r="J26" s="40"/>
      <c r="K26" s="40"/>
      <c r="L26" s="40"/>
    </row>
    <row r="27" spans="1:12" ht="15" customHeight="1">
      <c r="A27" s="100"/>
      <c r="B27" s="38" t="s">
        <v>10</v>
      </c>
      <c r="C27" s="39">
        <v>30000</v>
      </c>
      <c r="D27" s="38">
        <v>0.25</v>
      </c>
      <c r="E27" s="40">
        <f t="shared" si="3"/>
        <v>0.21874999999999997</v>
      </c>
      <c r="F27" s="40">
        <f t="shared" si="3"/>
        <v>0.28125</v>
      </c>
      <c r="G27" s="40">
        <f t="shared" si="4"/>
        <v>6562.4999999999991</v>
      </c>
      <c r="H27" s="40">
        <f t="shared" si="5"/>
        <v>7500</v>
      </c>
      <c r="I27" s="40">
        <f>C27*F27</f>
        <v>8437.5</v>
      </c>
      <c r="J27" s="40"/>
      <c r="K27" s="40"/>
      <c r="L27" s="40"/>
    </row>
    <row r="28" spans="1:12" ht="15" customHeight="1">
      <c r="A28" s="100"/>
      <c r="B28" s="41" t="s">
        <v>11</v>
      </c>
      <c r="C28" s="42">
        <v>-100000</v>
      </c>
      <c r="D28" s="41">
        <v>0.05</v>
      </c>
      <c r="E28" s="43">
        <f t="shared" si="3"/>
        <v>4.3749999999999997E-2</v>
      </c>
      <c r="F28" s="43">
        <f t="shared" si="3"/>
        <v>5.6250000000000001E-2</v>
      </c>
      <c r="G28" s="43">
        <f t="shared" si="4"/>
        <v>-4375</v>
      </c>
      <c r="H28" s="43">
        <f t="shared" si="5"/>
        <v>-5000</v>
      </c>
      <c r="I28" s="43">
        <f>C28*F28</f>
        <v>-5625</v>
      </c>
      <c r="J28" s="43"/>
      <c r="K28" s="43"/>
      <c r="L28" s="43"/>
    </row>
    <row r="30" spans="1:12" ht="15" customHeight="1">
      <c r="A30" s="20" t="s">
        <v>3</v>
      </c>
      <c r="B30" s="20" t="s">
        <v>4</v>
      </c>
      <c r="C30" s="21" t="s">
        <v>5</v>
      </c>
      <c r="D30" s="35" t="s">
        <v>6</v>
      </c>
      <c r="E30" s="36" t="s">
        <v>42</v>
      </c>
      <c r="F30" s="37" t="s">
        <v>43</v>
      </c>
      <c r="G30" s="37" t="s">
        <v>44</v>
      </c>
      <c r="H30" s="47" t="s">
        <v>45</v>
      </c>
      <c r="I30" s="37" t="s">
        <v>46</v>
      </c>
      <c r="J30" s="37" t="s">
        <v>47</v>
      </c>
      <c r="K30" s="37" t="s">
        <v>48</v>
      </c>
      <c r="L30" s="37" t="s">
        <v>49</v>
      </c>
    </row>
    <row r="31" spans="1:12" ht="15" customHeight="1">
      <c r="A31" s="100" t="s">
        <v>12</v>
      </c>
      <c r="B31" s="27" t="s">
        <v>8</v>
      </c>
      <c r="C31" s="28">
        <v>400000</v>
      </c>
      <c r="D31" s="27">
        <v>0.15</v>
      </c>
      <c r="E31" s="29">
        <f>D31+0.1</f>
        <v>0.25</v>
      </c>
      <c r="F31" s="29">
        <f>D31-0.1</f>
        <v>4.9999999999999989E-2</v>
      </c>
      <c r="G31" s="29">
        <f>C31*E31</f>
        <v>100000</v>
      </c>
      <c r="H31" s="29">
        <f>C31*D31</f>
        <v>60000</v>
      </c>
      <c r="I31" s="29">
        <f>C31*F31</f>
        <v>19999.999999999996</v>
      </c>
      <c r="J31" s="29">
        <f>SUM(G31:G34)</f>
        <v>170147.0588235294</v>
      </c>
      <c r="K31" s="29">
        <f>SUM(H31:H34)</f>
        <v>139500</v>
      </c>
      <c r="L31" s="29">
        <f>SUM(I31:I34)</f>
        <v>108852.94117647059</v>
      </c>
    </row>
    <row r="32" spans="1:12" ht="15" customHeight="1">
      <c r="A32" s="100"/>
      <c r="B32" s="38" t="s">
        <v>9</v>
      </c>
      <c r="C32" s="39">
        <v>150000</v>
      </c>
      <c r="D32" s="38">
        <v>0.5</v>
      </c>
      <c r="E32" s="40">
        <f>$D32*((1-E$31)/SUM($D$32:$D$34))</f>
        <v>0.44117647058823528</v>
      </c>
      <c r="F32" s="40">
        <f>$D32*((1-F$31)/SUM($D$32:$D$34))</f>
        <v>0.55882352941176472</v>
      </c>
      <c r="G32" s="40">
        <f t="shared" ref="G32:G34" si="6">C32*E32</f>
        <v>66176.470588235286</v>
      </c>
      <c r="H32" s="40">
        <f t="shared" ref="H32:H34" si="7">C32*D32</f>
        <v>75000</v>
      </c>
      <c r="I32" s="40">
        <f>C32*F32</f>
        <v>83823.529411764714</v>
      </c>
      <c r="J32" s="40"/>
      <c r="K32" s="40"/>
      <c r="L32" s="40"/>
    </row>
    <row r="33" spans="1:12" ht="15" customHeight="1">
      <c r="A33" s="100"/>
      <c r="B33" s="38" t="s">
        <v>10</v>
      </c>
      <c r="C33" s="39">
        <v>50000</v>
      </c>
      <c r="D33" s="38">
        <v>0.25</v>
      </c>
      <c r="E33" s="40">
        <f>$D33*((1-E$31)/SUM($D$32:$D$34))</f>
        <v>0.22058823529411764</v>
      </c>
      <c r="F33" s="40">
        <f>$D33*((1-F$31)/SUM($D$32:$D$34))</f>
        <v>0.27941176470588236</v>
      </c>
      <c r="G33" s="40">
        <f t="shared" si="6"/>
        <v>11029.411764705883</v>
      </c>
      <c r="H33" s="40">
        <f t="shared" si="7"/>
        <v>12500</v>
      </c>
      <c r="I33" s="40">
        <f>C33*F33</f>
        <v>13970.588235294117</v>
      </c>
      <c r="J33" s="40"/>
      <c r="K33" s="40"/>
      <c r="L33" s="40"/>
    </row>
    <row r="34" spans="1:12" ht="15" customHeight="1">
      <c r="A34" s="100"/>
      <c r="B34" s="41" t="s">
        <v>11</v>
      </c>
      <c r="C34" s="42">
        <v>-80000</v>
      </c>
      <c r="D34" s="41">
        <v>0.1</v>
      </c>
      <c r="E34" s="43">
        <f t="shared" ref="E34" si="8">$D34*((1-E$31)/SUM($D$32:$D$34))</f>
        <v>8.8235294117647065E-2</v>
      </c>
      <c r="F34" s="43">
        <f>$D34*((1-F$31)/SUM($D$32:$D$34))</f>
        <v>0.11176470588235295</v>
      </c>
      <c r="G34" s="43">
        <f t="shared" si="6"/>
        <v>-7058.8235294117649</v>
      </c>
      <c r="H34" s="43">
        <f t="shared" si="7"/>
        <v>-8000</v>
      </c>
      <c r="I34" s="43">
        <f>C34*F34</f>
        <v>-8941.176470588236</v>
      </c>
      <c r="J34" s="43"/>
      <c r="K34" s="43"/>
      <c r="L34" s="43"/>
    </row>
    <row r="36" spans="1:12" ht="15" customHeight="1">
      <c r="A36" s="20" t="s">
        <v>3</v>
      </c>
      <c r="B36" s="20" t="s">
        <v>4</v>
      </c>
      <c r="C36" s="21" t="s">
        <v>5</v>
      </c>
      <c r="D36" s="35" t="s">
        <v>6</v>
      </c>
      <c r="E36" s="36" t="s">
        <v>42</v>
      </c>
      <c r="F36" s="37" t="s">
        <v>43</v>
      </c>
      <c r="G36" s="37" t="s">
        <v>44</v>
      </c>
      <c r="H36" s="47" t="s">
        <v>45</v>
      </c>
      <c r="I36" s="37" t="s">
        <v>46</v>
      </c>
      <c r="J36" s="37" t="s">
        <v>47</v>
      </c>
      <c r="K36" s="37" t="s">
        <v>48</v>
      </c>
      <c r="L36" s="37" t="s">
        <v>49</v>
      </c>
    </row>
    <row r="37" spans="1:12" ht="15" customHeight="1">
      <c r="A37" s="100" t="s">
        <v>13</v>
      </c>
      <c r="B37" s="27" t="s">
        <v>8</v>
      </c>
      <c r="C37" s="28">
        <v>250000</v>
      </c>
      <c r="D37" s="27">
        <v>0.25</v>
      </c>
      <c r="E37" s="29">
        <f>D37+0.1</f>
        <v>0.35</v>
      </c>
      <c r="F37" s="29">
        <f>D37-0.1</f>
        <v>0.15</v>
      </c>
      <c r="G37" s="29">
        <f>C37*E37</f>
        <v>87500</v>
      </c>
      <c r="H37" s="29">
        <f>C37*D37</f>
        <v>62500</v>
      </c>
      <c r="I37" s="29">
        <f>C37*F37</f>
        <v>37500</v>
      </c>
      <c r="J37" s="29">
        <f>SUM(G37:G40)</f>
        <v>123900</v>
      </c>
      <c r="K37" s="29">
        <f>SUM(H37:H40)</f>
        <v>104500</v>
      </c>
      <c r="L37" s="29">
        <f>SUM(I37:I40)</f>
        <v>85100</v>
      </c>
    </row>
    <row r="38" spans="1:12" ht="15" customHeight="1">
      <c r="A38" s="100"/>
      <c r="B38" s="38" t="s">
        <v>9</v>
      </c>
      <c r="C38" s="39">
        <v>90000</v>
      </c>
      <c r="D38" s="38">
        <v>0.5</v>
      </c>
      <c r="E38" s="40">
        <f t="shared" ref="E38:F40" si="9">$D38*((1-E$37)/SUM($D$38:$D$40))</f>
        <v>0.43333333333333335</v>
      </c>
      <c r="F38" s="40">
        <f t="shared" si="9"/>
        <v>0.56666666666666665</v>
      </c>
      <c r="G38" s="40">
        <f t="shared" ref="G38:G40" si="10">C38*E38</f>
        <v>39000</v>
      </c>
      <c r="H38" s="40">
        <f t="shared" ref="H38:H40" si="11">C38*D38</f>
        <v>45000</v>
      </c>
      <c r="I38" s="40">
        <f>C38*F38</f>
        <v>51000</v>
      </c>
      <c r="J38" s="40"/>
      <c r="K38" s="40"/>
      <c r="L38" s="40"/>
    </row>
    <row r="39" spans="1:12" ht="15" customHeight="1">
      <c r="A39" s="100"/>
      <c r="B39" s="38" t="s">
        <v>10</v>
      </c>
      <c r="C39" s="39">
        <v>20000</v>
      </c>
      <c r="D39" s="38">
        <v>0.15</v>
      </c>
      <c r="E39" s="40">
        <f t="shared" si="9"/>
        <v>0.13</v>
      </c>
      <c r="F39" s="40">
        <f t="shared" si="9"/>
        <v>0.16999999999999998</v>
      </c>
      <c r="G39" s="40">
        <f t="shared" si="10"/>
        <v>2600</v>
      </c>
      <c r="H39" s="40">
        <f t="shared" si="11"/>
        <v>3000</v>
      </c>
      <c r="I39" s="40">
        <f>C39*F39</f>
        <v>3399.9999999999995</v>
      </c>
      <c r="J39" s="40"/>
      <c r="K39" s="40"/>
      <c r="L39" s="40"/>
    </row>
    <row r="40" spans="1:12" ht="15" customHeight="1">
      <c r="A40" s="100"/>
      <c r="B40" s="41" t="s">
        <v>11</v>
      </c>
      <c r="C40" s="42">
        <v>-60000</v>
      </c>
      <c r="D40" s="41">
        <v>0.1</v>
      </c>
      <c r="E40" s="43">
        <f t="shared" si="9"/>
        <v>8.666666666666667E-2</v>
      </c>
      <c r="F40" s="43">
        <f t="shared" si="9"/>
        <v>0.11333333333333334</v>
      </c>
      <c r="G40" s="43">
        <f t="shared" si="10"/>
        <v>-5200</v>
      </c>
      <c r="H40" s="43">
        <f t="shared" si="11"/>
        <v>-6000</v>
      </c>
      <c r="I40" s="43">
        <f>C40*F40</f>
        <v>-6800.0000000000009</v>
      </c>
      <c r="J40" s="43"/>
      <c r="K40" s="43"/>
      <c r="L40" s="43"/>
    </row>
    <row r="43" spans="1:12" ht="15" customHeight="1">
      <c r="A43" s="14" t="s">
        <v>50</v>
      </c>
    </row>
    <row r="44" spans="1:12" ht="15" customHeight="1">
      <c r="A44" s="20" t="s">
        <v>3</v>
      </c>
      <c r="B44" s="20" t="s">
        <v>4</v>
      </c>
      <c r="C44" s="3" t="s">
        <v>5</v>
      </c>
      <c r="D44" s="24" t="s">
        <v>6</v>
      </c>
      <c r="E44" s="61" t="s">
        <v>51</v>
      </c>
      <c r="F44" s="62" t="s">
        <v>52</v>
      </c>
      <c r="G44" s="62" t="s">
        <v>53</v>
      </c>
      <c r="H44" s="63" t="s">
        <v>45</v>
      </c>
      <c r="I44" s="37" t="s">
        <v>54</v>
      </c>
      <c r="J44" s="37" t="s">
        <v>55</v>
      </c>
      <c r="K44" s="66" t="s">
        <v>48</v>
      </c>
      <c r="L44" s="66" t="s">
        <v>56</v>
      </c>
    </row>
    <row r="45" spans="1:12" ht="15" customHeight="1">
      <c r="A45" s="100" t="s">
        <v>7</v>
      </c>
      <c r="B45" s="27" t="s">
        <v>8</v>
      </c>
      <c r="C45" s="39">
        <v>300000</v>
      </c>
      <c r="D45" s="38">
        <v>0.2</v>
      </c>
      <c r="E45" s="81">
        <f>D45+0.2</f>
        <v>0.4</v>
      </c>
      <c r="F45" s="64">
        <f>D45-0.2</f>
        <v>0</v>
      </c>
      <c r="G45">
        <f>C45*E45</f>
        <v>120000</v>
      </c>
      <c r="H45" s="40">
        <f>C45*D45</f>
        <v>60000</v>
      </c>
      <c r="I45" s="29">
        <f>C45*F45</f>
        <v>0</v>
      </c>
      <c r="J45" s="29">
        <f>SUM(G45:G48)</f>
        <v>166875</v>
      </c>
      <c r="K45" s="67">
        <f>SUM(H45:H48)</f>
        <v>122500</v>
      </c>
      <c r="L45" s="67">
        <f>SUM(I45:I48)</f>
        <v>78125</v>
      </c>
    </row>
    <row r="46" spans="1:12" ht="15" customHeight="1">
      <c r="A46" s="100"/>
      <c r="B46" s="38" t="s">
        <v>9</v>
      </c>
      <c r="C46" s="39">
        <v>120000</v>
      </c>
      <c r="D46" s="38">
        <v>0.5</v>
      </c>
      <c r="E46" s="40">
        <f t="shared" ref="E46:F48" si="12">$D46*((1-E$45)/SUM($D$46:$D$48))</f>
        <v>0.37499999999999994</v>
      </c>
      <c r="F46" s="64">
        <f t="shared" si="12"/>
        <v>0.625</v>
      </c>
      <c r="G46" s="40">
        <f>C46*E46</f>
        <v>44999.999999999993</v>
      </c>
      <c r="H46" s="40">
        <f>C46*D46</f>
        <v>60000</v>
      </c>
      <c r="I46" s="40">
        <f>C46*F46</f>
        <v>75000</v>
      </c>
      <c r="J46" s="64"/>
      <c r="K46" s="64"/>
      <c r="L46" s="64"/>
    </row>
    <row r="47" spans="1:12" ht="15" customHeight="1">
      <c r="A47" s="100"/>
      <c r="B47" s="38" t="s">
        <v>10</v>
      </c>
      <c r="C47" s="39">
        <v>30000</v>
      </c>
      <c r="D47" s="38">
        <v>0.25</v>
      </c>
      <c r="E47" s="40">
        <f t="shared" si="12"/>
        <v>0.18749999999999997</v>
      </c>
      <c r="F47" s="64">
        <f t="shared" si="12"/>
        <v>0.3125</v>
      </c>
      <c r="G47" s="64">
        <f>C47*E47</f>
        <v>5624.9999999999991</v>
      </c>
      <c r="H47" s="40">
        <f>C47*D47</f>
        <v>7500</v>
      </c>
      <c r="I47" s="40">
        <f>C47*F47</f>
        <v>9375</v>
      </c>
      <c r="J47" s="64"/>
      <c r="K47" s="64"/>
      <c r="L47" s="64"/>
    </row>
    <row r="48" spans="1:12" ht="21.95" customHeight="1">
      <c r="A48" s="98"/>
      <c r="B48" s="41" t="s">
        <v>11</v>
      </c>
      <c r="C48" s="42">
        <v>-100000</v>
      </c>
      <c r="D48" s="41">
        <v>0.05</v>
      </c>
      <c r="E48" s="43">
        <f t="shared" si="12"/>
        <v>3.7499999999999999E-2</v>
      </c>
      <c r="F48" s="65">
        <f t="shared" si="12"/>
        <v>6.25E-2</v>
      </c>
      <c r="G48" s="65">
        <f>C48*E48</f>
        <v>-3750</v>
      </c>
      <c r="H48" s="43">
        <f>C48*D48</f>
        <v>-5000</v>
      </c>
      <c r="I48" s="43">
        <f>C48*F48</f>
        <v>-6250</v>
      </c>
      <c r="J48" s="68"/>
      <c r="K48" s="68"/>
      <c r="L48" s="65"/>
    </row>
    <row r="49" spans="1:12" ht="15" customHeight="1">
      <c r="C49" s="8"/>
      <c r="D49" s="7"/>
      <c r="E49" s="7"/>
      <c r="J49" s="17"/>
      <c r="K49" s="17"/>
    </row>
    <row r="50" spans="1:12" ht="15" customHeight="1">
      <c r="A50" s="20" t="s">
        <v>3</v>
      </c>
      <c r="B50" s="20" t="s">
        <v>4</v>
      </c>
      <c r="C50" s="21" t="s">
        <v>5</v>
      </c>
      <c r="D50" s="35" t="s">
        <v>6</v>
      </c>
      <c r="E50" s="61" t="s">
        <v>51</v>
      </c>
      <c r="F50" s="62" t="s">
        <v>52</v>
      </c>
      <c r="G50" s="37" t="s">
        <v>53</v>
      </c>
      <c r="H50" s="47" t="s">
        <v>45</v>
      </c>
      <c r="I50" s="37" t="s">
        <v>54</v>
      </c>
      <c r="J50" s="37" t="s">
        <v>55</v>
      </c>
      <c r="K50" s="37" t="s">
        <v>48</v>
      </c>
      <c r="L50" s="37" t="s">
        <v>56</v>
      </c>
    </row>
    <row r="51" spans="1:12" ht="15" customHeight="1">
      <c r="A51" s="100" t="s">
        <v>12</v>
      </c>
      <c r="B51" s="27" t="s">
        <v>8</v>
      </c>
      <c r="C51" s="28">
        <v>400000</v>
      </c>
      <c r="D51" s="27">
        <v>0.15</v>
      </c>
      <c r="E51" s="7">
        <f>D51+0.2</f>
        <v>0.35</v>
      </c>
      <c r="F51" s="29">
        <f>D51-0.2</f>
        <v>-5.0000000000000017E-2</v>
      </c>
      <c r="G51" s="29">
        <f>C51*E51</f>
        <v>140000</v>
      </c>
      <c r="H51" s="29">
        <f>C51*D51</f>
        <v>60000</v>
      </c>
      <c r="I51" s="29">
        <f>C51*F51</f>
        <v>-20000.000000000007</v>
      </c>
      <c r="J51" s="29">
        <f>SUM(G51:G54)</f>
        <v>200794.11764705885</v>
      </c>
      <c r="K51" s="29">
        <f>SUM(H51:H54)</f>
        <v>139500</v>
      </c>
      <c r="L51" s="29">
        <f>SUM(I51:I54)</f>
        <v>78205.88235294116</v>
      </c>
    </row>
    <row r="52" spans="1:12" ht="15" customHeight="1">
      <c r="A52" s="101"/>
      <c r="B52" s="38" t="s">
        <v>9</v>
      </c>
      <c r="C52" s="39">
        <v>150000</v>
      </c>
      <c r="D52" s="38">
        <v>0.5</v>
      </c>
      <c r="E52" s="40">
        <f t="shared" ref="E52:F54" si="13">$D52*((1-E$51)/SUM($D$52:$D$54))</f>
        <v>0.38235294117647062</v>
      </c>
      <c r="F52" s="40">
        <f t="shared" si="13"/>
        <v>0.61764705882352944</v>
      </c>
      <c r="G52" s="40">
        <f>C52*E52</f>
        <v>57352.941176470595</v>
      </c>
      <c r="H52" s="40">
        <f>C52*D52</f>
        <v>75000</v>
      </c>
      <c r="I52" s="40">
        <f>C52*F52</f>
        <v>92647.058823529413</v>
      </c>
      <c r="J52" s="40"/>
      <c r="K52" s="40"/>
      <c r="L52" s="40"/>
    </row>
    <row r="53" spans="1:12" ht="15" customHeight="1">
      <c r="A53" s="101"/>
      <c r="B53" s="38" t="s">
        <v>10</v>
      </c>
      <c r="C53" s="39">
        <v>50000</v>
      </c>
      <c r="D53" s="38">
        <v>0.25</v>
      </c>
      <c r="E53" s="40">
        <f t="shared" si="13"/>
        <v>0.19117647058823531</v>
      </c>
      <c r="F53" s="40">
        <f t="shared" si="13"/>
        <v>0.30882352941176472</v>
      </c>
      <c r="G53" s="40">
        <f>C53*E53</f>
        <v>9558.8235294117658</v>
      </c>
      <c r="H53" s="40">
        <f>C53*D53</f>
        <v>12500</v>
      </c>
      <c r="I53" s="40">
        <f>C53*F53</f>
        <v>15441.176470588236</v>
      </c>
      <c r="J53" s="40"/>
      <c r="K53" s="40"/>
      <c r="L53" s="40"/>
    </row>
    <row r="54" spans="1:12" ht="15" customHeight="1">
      <c r="A54" s="104"/>
      <c r="B54" s="41" t="s">
        <v>11</v>
      </c>
      <c r="C54" s="42">
        <v>-80000</v>
      </c>
      <c r="D54" s="41">
        <v>0.1</v>
      </c>
      <c r="E54" s="43">
        <f t="shared" si="13"/>
        <v>7.6470588235294124E-2</v>
      </c>
      <c r="F54" s="43">
        <f t="shared" si="13"/>
        <v>0.12352941176470589</v>
      </c>
      <c r="G54" s="43">
        <f>C54*E54</f>
        <v>-6117.6470588235297</v>
      </c>
      <c r="H54" s="43">
        <f>C54*D54</f>
        <v>-8000</v>
      </c>
      <c r="I54" s="43">
        <f>C54*F54</f>
        <v>-9882.3529411764703</v>
      </c>
      <c r="J54" s="43"/>
      <c r="K54" s="43"/>
      <c r="L54" s="43"/>
    </row>
    <row r="55" spans="1:12" ht="15" customHeight="1">
      <c r="B55" s="7"/>
      <c r="C55" s="8"/>
      <c r="D55" s="7"/>
      <c r="E55" s="7"/>
      <c r="J55" s="17"/>
      <c r="K55" s="17"/>
    </row>
    <row r="56" spans="1:12" ht="15" customHeight="1">
      <c r="A56" s="20" t="s">
        <v>3</v>
      </c>
      <c r="B56" s="20" t="s">
        <v>4</v>
      </c>
      <c r="C56" s="21" t="s">
        <v>5</v>
      </c>
      <c r="D56" s="24" t="s">
        <v>6</v>
      </c>
      <c r="E56" s="61" t="s">
        <v>51</v>
      </c>
      <c r="F56" s="62" t="s">
        <v>52</v>
      </c>
      <c r="G56" s="37" t="s">
        <v>53</v>
      </c>
      <c r="H56" s="47" t="s">
        <v>45</v>
      </c>
      <c r="I56" s="37" t="s">
        <v>54</v>
      </c>
      <c r="J56" s="37" t="s">
        <v>55</v>
      </c>
      <c r="K56" s="37" t="s">
        <v>48</v>
      </c>
      <c r="L56" s="37" t="s">
        <v>56</v>
      </c>
    </row>
    <row r="57" spans="1:12" ht="15" customHeight="1">
      <c r="A57" s="100" t="s">
        <v>13</v>
      </c>
      <c r="B57" s="27" t="s">
        <v>8</v>
      </c>
      <c r="C57" s="28">
        <v>250000</v>
      </c>
      <c r="D57" s="38">
        <v>0.25</v>
      </c>
      <c r="E57" s="7">
        <f>D57+0.2</f>
        <v>0.45</v>
      </c>
      <c r="F57" s="40">
        <f>D57-0.2</f>
        <v>4.9999999999999989E-2</v>
      </c>
      <c r="G57" s="29">
        <f>C57*E57</f>
        <v>112500</v>
      </c>
      <c r="H57" s="29">
        <f>C57*D57</f>
        <v>62500</v>
      </c>
      <c r="I57" s="29">
        <f>C57*F57</f>
        <v>12499.999999999996</v>
      </c>
      <c r="J57" s="29">
        <f>SUM(G57:G60)</f>
        <v>143300</v>
      </c>
      <c r="K57" s="29">
        <f>SUM(H57:H60)</f>
        <v>104500</v>
      </c>
      <c r="L57" s="29">
        <f>SUM(I57:I60)</f>
        <v>65700</v>
      </c>
    </row>
    <row r="58" spans="1:12" ht="15" customHeight="1">
      <c r="A58" s="100"/>
      <c r="B58" s="38" t="s">
        <v>9</v>
      </c>
      <c r="C58" s="39">
        <v>90000</v>
      </c>
      <c r="D58" s="38">
        <v>0.5</v>
      </c>
      <c r="E58" s="40">
        <f t="shared" ref="E58:F60" si="14">$D58*((1-E$57)/SUM($D$58:$D$60))</f>
        <v>0.3666666666666667</v>
      </c>
      <c r="F58" s="40">
        <f t="shared" si="14"/>
        <v>0.6333333333333333</v>
      </c>
      <c r="G58" s="40">
        <f>C58*E58</f>
        <v>33000</v>
      </c>
      <c r="H58" s="40">
        <f>C58*D58</f>
        <v>45000</v>
      </c>
      <c r="I58" s="40">
        <f>C58*F58</f>
        <v>57000</v>
      </c>
      <c r="J58" s="40"/>
      <c r="K58" s="40"/>
      <c r="L58" s="40"/>
    </row>
    <row r="59" spans="1:12" ht="15" customHeight="1">
      <c r="A59" s="100"/>
      <c r="B59" s="38" t="s">
        <v>10</v>
      </c>
      <c r="C59" s="39">
        <v>20000</v>
      </c>
      <c r="D59" s="79">
        <v>0.15</v>
      </c>
      <c r="E59" s="40">
        <f t="shared" si="14"/>
        <v>0.11</v>
      </c>
      <c r="F59" s="40">
        <f t="shared" si="14"/>
        <v>0.18999999999999997</v>
      </c>
      <c r="G59" s="40">
        <f>C59*E59</f>
        <v>2200</v>
      </c>
      <c r="H59" s="64">
        <f>C59*D59</f>
        <v>3000</v>
      </c>
      <c r="I59" s="40">
        <f>C59*F59</f>
        <v>3799.9999999999995</v>
      </c>
      <c r="J59" s="40"/>
      <c r="K59" s="40"/>
      <c r="L59" s="40"/>
    </row>
    <row r="60" spans="1:12" ht="15" customHeight="1">
      <c r="A60" s="98"/>
      <c r="B60" s="41" t="s">
        <v>11</v>
      </c>
      <c r="C60" s="42">
        <v>-60000</v>
      </c>
      <c r="D60" s="80">
        <v>0.1</v>
      </c>
      <c r="E60" s="43">
        <f t="shared" si="14"/>
        <v>7.3333333333333348E-2</v>
      </c>
      <c r="F60" s="43">
        <f t="shared" si="14"/>
        <v>0.12666666666666668</v>
      </c>
      <c r="G60" s="43">
        <f>C60*E60</f>
        <v>-4400.0000000000009</v>
      </c>
      <c r="H60" s="65">
        <f>C60*D60</f>
        <v>-6000</v>
      </c>
      <c r="I60" s="43">
        <f>C60*F60</f>
        <v>-7600.0000000000009</v>
      </c>
      <c r="J60" s="43"/>
      <c r="K60" s="43"/>
      <c r="L60" s="43"/>
    </row>
    <row r="61" spans="1:12" ht="15" customHeight="1">
      <c r="C61" s="8"/>
      <c r="D61" s="7"/>
      <c r="J61" s="17"/>
      <c r="K61" s="17"/>
    </row>
    <row r="62" spans="1:12" ht="15" customHeight="1">
      <c r="B62" s="7"/>
      <c r="C62" s="8"/>
      <c r="D62" s="7"/>
      <c r="J62" s="17"/>
      <c r="K62" s="17"/>
    </row>
    <row r="63" spans="1:12" ht="15" customHeight="1">
      <c r="A63" s="14" t="s">
        <v>57</v>
      </c>
      <c r="B63" s="54"/>
    </row>
    <row r="64" spans="1:12" ht="15" customHeight="1">
      <c r="A64" s="20" t="s">
        <v>3</v>
      </c>
      <c r="B64" s="20" t="s">
        <v>4</v>
      </c>
      <c r="C64" s="21" t="s">
        <v>5</v>
      </c>
      <c r="D64" s="35" t="s">
        <v>6</v>
      </c>
      <c r="E64" s="36" t="s">
        <v>58</v>
      </c>
      <c r="F64" s="37" t="s">
        <v>59</v>
      </c>
      <c r="G64" s="37" t="s">
        <v>60</v>
      </c>
      <c r="H64" s="47" t="s">
        <v>45</v>
      </c>
      <c r="I64" s="37" t="s">
        <v>61</v>
      </c>
      <c r="J64" s="37" t="s">
        <v>62</v>
      </c>
      <c r="K64" s="37" t="s">
        <v>48</v>
      </c>
      <c r="L64" s="37" t="s">
        <v>63</v>
      </c>
    </row>
    <row r="65" spans="1:12" ht="15" customHeight="1">
      <c r="A65" s="100" t="s">
        <v>7</v>
      </c>
      <c r="B65" s="27" t="s">
        <v>8</v>
      </c>
      <c r="C65" s="28">
        <v>300000</v>
      </c>
      <c r="D65" s="27">
        <v>0.2</v>
      </c>
      <c r="E65" s="29">
        <f>D65+0.3</f>
        <v>0.5</v>
      </c>
      <c r="F65" s="29">
        <f>D65-0.1</f>
        <v>0.1</v>
      </c>
      <c r="G65" s="29">
        <f>C65*E65</f>
        <v>150000</v>
      </c>
      <c r="H65" s="29">
        <f>C65*D65</f>
        <v>60000</v>
      </c>
      <c r="I65" s="29">
        <f>C65*F65</f>
        <v>30000</v>
      </c>
      <c r="J65" s="29">
        <f>SUM(G65:G68)</f>
        <v>189062.5</v>
      </c>
      <c r="K65" s="29">
        <f>SUM(H65:H68)</f>
        <v>122500</v>
      </c>
      <c r="L65" s="29">
        <f>SUM(I65:I68)</f>
        <v>100312.5</v>
      </c>
    </row>
    <row r="66" spans="1:12" ht="15" customHeight="1">
      <c r="A66" s="100"/>
      <c r="B66" s="38" t="s">
        <v>9</v>
      </c>
      <c r="C66" s="39">
        <v>120000</v>
      </c>
      <c r="D66" s="38">
        <v>0.5</v>
      </c>
      <c r="E66" s="40">
        <f t="shared" ref="E66:F68" si="15">$D66*((1-E$65)/SUM($D$66:$D$68))</f>
        <v>0.3125</v>
      </c>
      <c r="F66" s="40">
        <f t="shared" si="15"/>
        <v>0.5625</v>
      </c>
      <c r="G66" s="40">
        <f>C66*E66</f>
        <v>37500</v>
      </c>
      <c r="H66" s="40">
        <f>C66*D66</f>
        <v>60000</v>
      </c>
      <c r="I66" s="40">
        <f>C66*F66</f>
        <v>67500</v>
      </c>
      <c r="J66" s="40"/>
      <c r="K66" s="40"/>
      <c r="L66" s="40"/>
    </row>
    <row r="67" spans="1:12" ht="15" customHeight="1">
      <c r="A67" s="100"/>
      <c r="B67" s="38" t="s">
        <v>10</v>
      </c>
      <c r="C67" s="39">
        <v>30000</v>
      </c>
      <c r="D67" s="38">
        <v>0.25</v>
      </c>
      <c r="E67" s="40">
        <f t="shared" si="15"/>
        <v>0.15625</v>
      </c>
      <c r="F67" s="40">
        <f t="shared" si="15"/>
        <v>0.28125</v>
      </c>
      <c r="G67" s="40">
        <f>C67*E67</f>
        <v>4687.5</v>
      </c>
      <c r="H67" s="40">
        <f>C67*D67</f>
        <v>7500</v>
      </c>
      <c r="I67" s="40">
        <f>C67*F67</f>
        <v>8437.5</v>
      </c>
      <c r="J67" s="40"/>
      <c r="K67" s="40"/>
      <c r="L67" s="40"/>
    </row>
    <row r="68" spans="1:12" ht="15" customHeight="1">
      <c r="A68" s="98"/>
      <c r="B68" s="41" t="s">
        <v>11</v>
      </c>
      <c r="C68" s="42">
        <v>-100000</v>
      </c>
      <c r="D68" s="41">
        <v>0.05</v>
      </c>
      <c r="E68" s="43">
        <f t="shared" si="15"/>
        <v>3.125E-2</v>
      </c>
      <c r="F68" s="43">
        <f t="shared" si="15"/>
        <v>5.6250000000000001E-2</v>
      </c>
      <c r="G68" s="43">
        <f>C68*E68</f>
        <v>-3125</v>
      </c>
      <c r="H68" s="43">
        <f>C68*D68</f>
        <v>-5000</v>
      </c>
      <c r="I68" s="43">
        <f>C68*F68</f>
        <v>-5625</v>
      </c>
      <c r="J68" s="43"/>
      <c r="K68" s="43"/>
      <c r="L68" s="43"/>
    </row>
    <row r="70" spans="1:12" ht="15" customHeight="1">
      <c r="A70" s="20" t="s">
        <v>3</v>
      </c>
      <c r="B70" s="20" t="s">
        <v>4</v>
      </c>
      <c r="C70" s="21" t="s">
        <v>5</v>
      </c>
      <c r="D70" s="35" t="s">
        <v>6</v>
      </c>
      <c r="E70" s="36" t="s">
        <v>58</v>
      </c>
      <c r="F70" s="37" t="s">
        <v>59</v>
      </c>
      <c r="G70" s="37" t="s">
        <v>60</v>
      </c>
      <c r="H70" s="47" t="s">
        <v>45</v>
      </c>
      <c r="I70" s="37" t="s">
        <v>61</v>
      </c>
      <c r="J70" s="37" t="s">
        <v>62</v>
      </c>
      <c r="K70" s="37" t="s">
        <v>48</v>
      </c>
      <c r="L70" s="37" t="s">
        <v>63</v>
      </c>
    </row>
    <row r="71" spans="1:12" ht="15" customHeight="1">
      <c r="A71" s="100" t="s">
        <v>12</v>
      </c>
      <c r="B71" s="27" t="s">
        <v>8</v>
      </c>
      <c r="C71" s="28">
        <v>400000</v>
      </c>
      <c r="D71" s="27">
        <v>0.15</v>
      </c>
      <c r="E71" s="29">
        <f>D71+0.3</f>
        <v>0.44999999999999996</v>
      </c>
      <c r="F71" s="29">
        <f>D71-0.1</f>
        <v>4.9999999999999989E-2</v>
      </c>
      <c r="G71" s="29">
        <f>C71*E71</f>
        <v>179999.99999999997</v>
      </c>
      <c r="H71" s="29">
        <f>C71*D71</f>
        <v>60000</v>
      </c>
      <c r="I71" s="29">
        <f>C71*F71</f>
        <v>19999.999999999996</v>
      </c>
      <c r="J71" s="29">
        <f>SUM(G71:G74)</f>
        <v>231441.17647058819</v>
      </c>
      <c r="K71" s="29">
        <f>SUM(H71:H74)</f>
        <v>139500</v>
      </c>
      <c r="L71" s="29">
        <f>SUM(I71:I74)</f>
        <v>108852.94117647059</v>
      </c>
    </row>
    <row r="72" spans="1:12" ht="15" customHeight="1">
      <c r="A72" s="101"/>
      <c r="B72" s="38" t="s">
        <v>9</v>
      </c>
      <c r="C72" s="39">
        <v>150000</v>
      </c>
      <c r="D72" s="38">
        <v>0.5</v>
      </c>
      <c r="E72" s="40">
        <f t="shared" ref="E72:F74" si="16">$D72*((1-E$71)/SUM($D$72:$D$74))</f>
        <v>0.3235294117647059</v>
      </c>
      <c r="F72" s="40">
        <f t="shared" si="16"/>
        <v>0.55882352941176472</v>
      </c>
      <c r="G72" s="40">
        <f>C72*E72</f>
        <v>48529.411764705888</v>
      </c>
      <c r="H72" s="40">
        <f>C72*D72</f>
        <v>75000</v>
      </c>
      <c r="I72" s="40">
        <f>C72*F72</f>
        <v>83823.529411764714</v>
      </c>
      <c r="J72" s="40"/>
      <c r="K72" s="40"/>
      <c r="L72" s="40"/>
    </row>
    <row r="73" spans="1:12" ht="15" customHeight="1">
      <c r="A73" s="101"/>
      <c r="B73" s="38" t="s">
        <v>10</v>
      </c>
      <c r="C73" s="39">
        <v>50000</v>
      </c>
      <c r="D73" s="38">
        <v>0.25</v>
      </c>
      <c r="E73" s="40">
        <f t="shared" si="16"/>
        <v>0.16176470588235295</v>
      </c>
      <c r="F73" s="40">
        <f t="shared" si="16"/>
        <v>0.27941176470588236</v>
      </c>
      <c r="G73" s="40">
        <f>C73*E73</f>
        <v>8088.2352941176478</v>
      </c>
      <c r="H73" s="40">
        <f>C73*D73</f>
        <v>12500</v>
      </c>
      <c r="I73" s="40">
        <f>C73*F73</f>
        <v>13970.588235294117</v>
      </c>
      <c r="J73" s="40"/>
      <c r="K73" s="40"/>
      <c r="L73" s="40"/>
    </row>
    <row r="74" spans="1:12" ht="15" customHeight="1">
      <c r="A74" s="104"/>
      <c r="B74" s="41" t="s">
        <v>11</v>
      </c>
      <c r="C74" s="42">
        <v>-80000</v>
      </c>
      <c r="D74" s="41">
        <v>0.1</v>
      </c>
      <c r="E74" s="43">
        <f t="shared" si="16"/>
        <v>6.4705882352941183E-2</v>
      </c>
      <c r="F74" s="43">
        <f t="shared" si="16"/>
        <v>0.11176470588235295</v>
      </c>
      <c r="G74" s="43">
        <f>C74*E74</f>
        <v>-5176.4705882352946</v>
      </c>
      <c r="H74" s="43">
        <f>C74*D74</f>
        <v>-8000</v>
      </c>
      <c r="I74" s="43">
        <f>C74*F74</f>
        <v>-8941.176470588236</v>
      </c>
      <c r="J74" s="43"/>
      <c r="K74" s="43"/>
      <c r="L74" s="43"/>
    </row>
    <row r="76" spans="1:12" ht="15" customHeight="1">
      <c r="A76" s="20" t="s">
        <v>3</v>
      </c>
      <c r="B76" s="20" t="s">
        <v>4</v>
      </c>
      <c r="C76" s="21" t="s">
        <v>5</v>
      </c>
      <c r="D76" s="35" t="s">
        <v>6</v>
      </c>
      <c r="E76" s="36" t="s">
        <v>58</v>
      </c>
      <c r="F76" s="37" t="s">
        <v>59</v>
      </c>
      <c r="G76" s="37" t="s">
        <v>60</v>
      </c>
      <c r="H76" s="47" t="s">
        <v>45</v>
      </c>
      <c r="I76" s="37" t="s">
        <v>61</v>
      </c>
      <c r="J76" s="37" t="s">
        <v>62</v>
      </c>
      <c r="K76" s="37" t="s">
        <v>48</v>
      </c>
      <c r="L76" s="37" t="s">
        <v>63</v>
      </c>
    </row>
    <row r="77" spans="1:12" ht="15" customHeight="1">
      <c r="A77" s="100" t="s">
        <v>13</v>
      </c>
      <c r="B77" s="27" t="s">
        <v>8</v>
      </c>
      <c r="C77" s="28">
        <v>250000</v>
      </c>
      <c r="D77" s="27">
        <v>0.25</v>
      </c>
      <c r="E77" s="29">
        <f>D77+0.3</f>
        <v>0.55000000000000004</v>
      </c>
      <c r="F77" s="29">
        <f>D77-0.1</f>
        <v>0.15</v>
      </c>
      <c r="G77" s="29">
        <f>C77*E77</f>
        <v>137500</v>
      </c>
      <c r="H77" s="29">
        <f>C77*D77</f>
        <v>62500</v>
      </c>
      <c r="I77" s="29">
        <f>C77*F77</f>
        <v>37500</v>
      </c>
      <c r="J77" s="29">
        <f>SUM(G77:G80)</f>
        <v>162700</v>
      </c>
      <c r="K77" s="29">
        <f>SUM(H77:H80)</f>
        <v>104500</v>
      </c>
      <c r="L77" s="29">
        <f>SUM(I77:I80)</f>
        <v>85100</v>
      </c>
    </row>
    <row r="78" spans="1:12" ht="15" customHeight="1">
      <c r="A78" s="100"/>
      <c r="B78" s="38" t="s">
        <v>9</v>
      </c>
      <c r="C78" s="39">
        <v>90000</v>
      </c>
      <c r="D78" s="38">
        <v>0.5</v>
      </c>
      <c r="E78" s="40">
        <f t="shared" ref="E78:F80" si="17">$D78*((1-E$77)/SUM($D$78:$D$80))</f>
        <v>0.3</v>
      </c>
      <c r="F78" s="40">
        <f t="shared" si="17"/>
        <v>0.56666666666666665</v>
      </c>
      <c r="G78" s="40">
        <f>C78*E78</f>
        <v>27000</v>
      </c>
      <c r="H78" s="40">
        <f>C78*D78</f>
        <v>45000</v>
      </c>
      <c r="I78" s="40">
        <f>C78*F78</f>
        <v>51000</v>
      </c>
      <c r="J78" s="40"/>
      <c r="K78" s="40"/>
      <c r="L78" s="40"/>
    </row>
    <row r="79" spans="1:12" ht="15" customHeight="1">
      <c r="A79" s="100"/>
      <c r="B79" s="38" t="s">
        <v>10</v>
      </c>
      <c r="C79" s="39">
        <v>20000</v>
      </c>
      <c r="D79" s="38">
        <v>0.15</v>
      </c>
      <c r="E79" s="40">
        <f t="shared" si="17"/>
        <v>0.09</v>
      </c>
      <c r="F79" s="40">
        <f t="shared" si="17"/>
        <v>0.16999999999999998</v>
      </c>
      <c r="G79" s="40">
        <f>C79*E79</f>
        <v>1800</v>
      </c>
      <c r="H79" s="40">
        <f>C79*D79</f>
        <v>3000</v>
      </c>
      <c r="I79" s="40">
        <f>C79*F79</f>
        <v>3399.9999999999995</v>
      </c>
      <c r="J79" s="40"/>
      <c r="K79" s="40"/>
      <c r="L79" s="40"/>
    </row>
    <row r="80" spans="1:12" ht="15" customHeight="1">
      <c r="A80" s="98"/>
      <c r="B80" s="41" t="s">
        <v>11</v>
      </c>
      <c r="C80" s="42">
        <v>-60000</v>
      </c>
      <c r="D80" s="41">
        <v>0.1</v>
      </c>
      <c r="E80" s="43">
        <f t="shared" si="17"/>
        <v>0.06</v>
      </c>
      <c r="F80" s="43">
        <f t="shared" si="17"/>
        <v>0.11333333333333334</v>
      </c>
      <c r="G80" s="43">
        <f>C80*E80</f>
        <v>-3600</v>
      </c>
      <c r="H80" s="43">
        <f>C80*D80</f>
        <v>-6000</v>
      </c>
      <c r="I80" s="43">
        <f>C80*F80</f>
        <v>-6800.0000000000009</v>
      </c>
      <c r="J80" s="43"/>
      <c r="K80" s="43"/>
      <c r="L80" s="43"/>
    </row>
    <row r="81" spans="1:12" ht="15" customHeight="1">
      <c r="A81" s="44"/>
      <c r="B81" s="44"/>
      <c r="C81" s="8"/>
      <c r="D81" s="7"/>
      <c r="F81" s="44"/>
      <c r="G81" s="44"/>
      <c r="H81" s="44"/>
      <c r="I81" s="44"/>
      <c r="J81" s="17"/>
      <c r="K81" s="17"/>
    </row>
    <row r="82" spans="1:12" ht="15" customHeight="1">
      <c r="A82" s="44"/>
      <c r="B82" s="7"/>
      <c r="C82" s="8"/>
      <c r="D82" s="7"/>
      <c r="F82" s="44"/>
      <c r="G82" s="44"/>
      <c r="H82" s="44"/>
      <c r="I82" s="44"/>
      <c r="J82" s="17"/>
      <c r="K82" s="17"/>
    </row>
    <row r="83" spans="1:12" ht="15" customHeight="1">
      <c r="A83" s="14" t="s">
        <v>64</v>
      </c>
      <c r="B83" s="54"/>
    </row>
    <row r="84" spans="1:12" ht="15" customHeight="1">
      <c r="A84" s="20" t="s">
        <v>3</v>
      </c>
      <c r="B84" s="20" t="s">
        <v>4</v>
      </c>
      <c r="C84" s="21" t="s">
        <v>5</v>
      </c>
      <c r="D84" s="35" t="s">
        <v>6</v>
      </c>
      <c r="E84" s="36" t="s">
        <v>65</v>
      </c>
      <c r="F84" s="37" t="s">
        <v>66</v>
      </c>
      <c r="G84" s="37" t="s">
        <v>67</v>
      </c>
      <c r="H84" s="47" t="s">
        <v>45</v>
      </c>
      <c r="I84" s="37" t="s">
        <v>68</v>
      </c>
      <c r="J84" s="37" t="s">
        <v>69</v>
      </c>
      <c r="K84" s="37" t="s">
        <v>48</v>
      </c>
      <c r="L84" s="37" t="s">
        <v>70</v>
      </c>
    </row>
    <row r="85" spans="1:12" ht="15" customHeight="1">
      <c r="A85" s="100" t="s">
        <v>7</v>
      </c>
      <c r="B85" s="27" t="s">
        <v>8</v>
      </c>
      <c r="C85" s="28">
        <v>300000</v>
      </c>
      <c r="D85" s="27">
        <v>0.2</v>
      </c>
      <c r="E85" s="29">
        <f>D85+0.4</f>
        <v>0.60000000000000009</v>
      </c>
      <c r="F85" s="29">
        <f>D85-0.1</f>
        <v>0.1</v>
      </c>
      <c r="G85" s="29">
        <f>C85*E85</f>
        <v>180000.00000000003</v>
      </c>
      <c r="H85" s="29">
        <f>C85*D85</f>
        <v>60000</v>
      </c>
      <c r="I85" s="29">
        <f>C85*F85</f>
        <v>30000</v>
      </c>
      <c r="J85" s="29">
        <f>SUM(G85:G88)</f>
        <v>211250.00000000003</v>
      </c>
      <c r="K85" s="29">
        <f>SUM(H85:H88)</f>
        <v>122500</v>
      </c>
      <c r="L85" s="29">
        <f>SUM(I85:I88)</f>
        <v>100312.5</v>
      </c>
    </row>
    <row r="86" spans="1:12" ht="15" customHeight="1">
      <c r="A86" s="100"/>
      <c r="B86" s="38" t="s">
        <v>9</v>
      </c>
      <c r="C86" s="39">
        <v>120000</v>
      </c>
      <c r="D86" s="38">
        <v>0.5</v>
      </c>
      <c r="E86" s="40">
        <f>$D86*((1-E$85)/SUM($D$86:$D$88))</f>
        <v>0.24999999999999994</v>
      </c>
      <c r="F86" s="40">
        <f>$D86*((1-F$85)/SUM($D$86:$D$88))</f>
        <v>0.5625</v>
      </c>
      <c r="G86" s="40">
        <f>C86*E86</f>
        <v>29999.999999999993</v>
      </c>
      <c r="H86" s="40">
        <f>C86*D86</f>
        <v>60000</v>
      </c>
      <c r="I86" s="40">
        <f>C86*F86</f>
        <v>67500</v>
      </c>
      <c r="J86" s="40"/>
      <c r="K86" s="40"/>
      <c r="L86" s="40"/>
    </row>
    <row r="87" spans="1:12" ht="15" customHeight="1">
      <c r="A87" s="100"/>
      <c r="B87" s="38" t="s">
        <v>10</v>
      </c>
      <c r="C87" s="39">
        <v>30000</v>
      </c>
      <c r="D87" s="38">
        <v>0.25</v>
      </c>
      <c r="E87" s="40">
        <f>$D87*((1-E$85)/SUM($D$86:$D$88))</f>
        <v>0.12499999999999997</v>
      </c>
      <c r="F87" s="40">
        <f t="shared" ref="F87:F88" si="18">$D87*((1-F$85)/SUM($D$86:$D$88))</f>
        <v>0.28125</v>
      </c>
      <c r="G87" s="40">
        <f>C87*E87</f>
        <v>3749.9999999999991</v>
      </c>
      <c r="H87" s="40">
        <f>C87*D87</f>
        <v>7500</v>
      </c>
      <c r="I87" s="40">
        <f>C87*F87</f>
        <v>8437.5</v>
      </c>
      <c r="J87" s="40"/>
      <c r="K87" s="40"/>
      <c r="L87" s="40"/>
    </row>
    <row r="88" spans="1:12" ht="15" customHeight="1">
      <c r="A88" s="98"/>
      <c r="B88" s="41" t="s">
        <v>11</v>
      </c>
      <c r="C88" s="42">
        <v>-100000</v>
      </c>
      <c r="D88" s="41">
        <v>0.05</v>
      </c>
      <c r="E88" s="43">
        <f>$D88*((1-E$85)/SUM($D$86:$D$88))</f>
        <v>2.4999999999999994E-2</v>
      </c>
      <c r="F88" s="43">
        <f t="shared" si="18"/>
        <v>5.6250000000000001E-2</v>
      </c>
      <c r="G88" s="43">
        <f>C88*E88</f>
        <v>-2499.9999999999995</v>
      </c>
      <c r="H88" s="43">
        <f>C88*D88</f>
        <v>-5000</v>
      </c>
      <c r="I88" s="43">
        <f>C88*F88</f>
        <v>-5625</v>
      </c>
      <c r="J88" s="43"/>
      <c r="K88" s="43"/>
      <c r="L88" s="43"/>
    </row>
    <row r="90" spans="1:12" ht="15" customHeight="1">
      <c r="A90" s="20" t="s">
        <v>3</v>
      </c>
      <c r="B90" s="20" t="s">
        <v>4</v>
      </c>
      <c r="C90" s="21" t="s">
        <v>5</v>
      </c>
      <c r="D90" s="35" t="s">
        <v>6</v>
      </c>
      <c r="E90" s="36" t="s">
        <v>65</v>
      </c>
      <c r="F90" s="37" t="s">
        <v>66</v>
      </c>
      <c r="G90" s="37" t="s">
        <v>67</v>
      </c>
      <c r="H90" s="47" t="s">
        <v>45</v>
      </c>
      <c r="I90" s="37" t="s">
        <v>68</v>
      </c>
      <c r="J90" s="37" t="s">
        <v>69</v>
      </c>
      <c r="K90" s="37" t="s">
        <v>48</v>
      </c>
      <c r="L90" s="37" t="s">
        <v>70</v>
      </c>
    </row>
    <row r="91" spans="1:12" ht="15" customHeight="1">
      <c r="A91" s="100" t="s">
        <v>12</v>
      </c>
      <c r="B91" s="27" t="s">
        <v>8</v>
      </c>
      <c r="C91" s="28">
        <v>400000</v>
      </c>
      <c r="D91" s="27">
        <v>0.15</v>
      </c>
      <c r="E91" s="29">
        <f>D91+0.4</f>
        <v>0.55000000000000004</v>
      </c>
      <c r="F91" s="40">
        <f>$D91*((1-F$25)/SUM($D$26:$D$28))</f>
        <v>0.16874999999999998</v>
      </c>
      <c r="G91" s="29">
        <f>C91*E91</f>
        <v>220000.00000000003</v>
      </c>
      <c r="H91" s="29">
        <f>C91*D91</f>
        <v>60000</v>
      </c>
      <c r="I91" s="29">
        <f>C91*F91</f>
        <v>67500</v>
      </c>
      <c r="J91" s="29">
        <f>SUM(G91:G94)</f>
        <v>262088.23529411771</v>
      </c>
      <c r="K91" s="29">
        <f>SUM(H91:H94)</f>
        <v>139500</v>
      </c>
      <c r="L91" s="29">
        <f>SUM(I91:I94)</f>
        <v>145246.32352941178</v>
      </c>
    </row>
    <row r="92" spans="1:12" ht="15" customHeight="1">
      <c r="A92" s="101"/>
      <c r="B92" s="38" t="s">
        <v>9</v>
      </c>
      <c r="C92" s="39">
        <v>150000</v>
      </c>
      <c r="D92" s="38">
        <v>0.5</v>
      </c>
      <c r="E92" s="40">
        <f t="shared" ref="E92:F94" si="19">$D92*((1-E$91)/SUM($D$92:$D$94))</f>
        <v>0.26470588235294118</v>
      </c>
      <c r="F92" s="40">
        <f t="shared" si="19"/>
        <v>0.48897058823529416</v>
      </c>
      <c r="G92" s="40">
        <f>C92*E92</f>
        <v>39705.882352941175</v>
      </c>
      <c r="H92" s="40">
        <f>C92*D92</f>
        <v>75000</v>
      </c>
      <c r="I92" s="40">
        <f>C92*F92</f>
        <v>73345.588235294126</v>
      </c>
      <c r="J92" s="40"/>
      <c r="K92" s="40"/>
      <c r="L92" s="40"/>
    </row>
    <row r="93" spans="1:12" ht="15" customHeight="1">
      <c r="A93" s="101"/>
      <c r="B93" s="38" t="s">
        <v>10</v>
      </c>
      <c r="C93" s="39">
        <v>50000</v>
      </c>
      <c r="D93" s="38">
        <v>0.25</v>
      </c>
      <c r="E93" s="40">
        <f t="shared" si="19"/>
        <v>0.13235294117647059</v>
      </c>
      <c r="F93" s="40">
        <f t="shared" si="19"/>
        <v>0.24448529411764708</v>
      </c>
      <c r="G93" s="40">
        <f>C93*E93</f>
        <v>6617.6470588235297</v>
      </c>
      <c r="H93" s="40">
        <f>C93*D93</f>
        <v>12500</v>
      </c>
      <c r="I93" s="40">
        <f>C93*F93</f>
        <v>12224.264705882353</v>
      </c>
      <c r="J93" s="40"/>
      <c r="K93" s="40"/>
      <c r="L93" s="40"/>
    </row>
    <row r="94" spans="1:12" ht="15" customHeight="1">
      <c r="A94" s="104"/>
      <c r="B94" s="41" t="s">
        <v>11</v>
      </c>
      <c r="C94" s="42">
        <v>-80000</v>
      </c>
      <c r="D94" s="41">
        <v>0.1</v>
      </c>
      <c r="E94" s="43">
        <f t="shared" si="19"/>
        <v>5.2941176470588241E-2</v>
      </c>
      <c r="F94" s="43">
        <f t="shared" si="19"/>
        <v>9.7794117647058837E-2</v>
      </c>
      <c r="G94" s="43">
        <f>C94*E94</f>
        <v>-4235.2941176470595</v>
      </c>
      <c r="H94" s="43">
        <f>C94*D94</f>
        <v>-8000</v>
      </c>
      <c r="I94" s="43">
        <f>C94*F94</f>
        <v>-7823.5294117647072</v>
      </c>
      <c r="J94" s="43"/>
      <c r="K94" s="43"/>
      <c r="L94" s="43"/>
    </row>
    <row r="96" spans="1:12" ht="15" customHeight="1">
      <c r="A96" s="20" t="s">
        <v>3</v>
      </c>
      <c r="B96" s="20" t="s">
        <v>4</v>
      </c>
      <c r="C96" s="21" t="s">
        <v>5</v>
      </c>
      <c r="D96" s="35" t="s">
        <v>6</v>
      </c>
      <c r="E96" s="36" t="s">
        <v>65</v>
      </c>
      <c r="F96" s="37" t="s">
        <v>66</v>
      </c>
      <c r="G96" s="37" t="s">
        <v>67</v>
      </c>
      <c r="H96" s="47" t="s">
        <v>45</v>
      </c>
      <c r="I96" s="37" t="s">
        <v>68</v>
      </c>
      <c r="J96" s="37" t="s">
        <v>69</v>
      </c>
      <c r="K96" s="37" t="s">
        <v>48</v>
      </c>
      <c r="L96" s="37" t="s">
        <v>70</v>
      </c>
    </row>
    <row r="97" spans="1:12" ht="15" customHeight="1">
      <c r="A97" s="100" t="s">
        <v>13</v>
      </c>
      <c r="B97" s="27" t="s">
        <v>8</v>
      </c>
      <c r="C97" s="28">
        <v>250000</v>
      </c>
      <c r="D97" s="27">
        <v>0.25</v>
      </c>
      <c r="E97" s="29">
        <f>D97+0.4</f>
        <v>0.65</v>
      </c>
      <c r="F97" s="29">
        <f>D97-0.1</f>
        <v>0.15</v>
      </c>
      <c r="G97" s="29">
        <f>C97*E97</f>
        <v>162500</v>
      </c>
      <c r="H97" s="29">
        <f>C97*D97</f>
        <v>62500</v>
      </c>
      <c r="I97" s="29">
        <f>C97*F97</f>
        <v>37500</v>
      </c>
      <c r="J97" s="29">
        <f>SUM(G97:G100)</f>
        <v>182100</v>
      </c>
      <c r="K97" s="29">
        <f>SUM(H97:H100)</f>
        <v>104500</v>
      </c>
      <c r="L97" s="29">
        <f>SUM(I97:I100)</f>
        <v>85100</v>
      </c>
    </row>
    <row r="98" spans="1:12" ht="15" customHeight="1">
      <c r="A98" s="100"/>
      <c r="B98" s="38" t="s">
        <v>9</v>
      </c>
      <c r="C98" s="39">
        <v>90000</v>
      </c>
      <c r="D98" s="38">
        <v>0.5</v>
      </c>
      <c r="E98" s="40">
        <f>$D98*((1-E$97)/SUM($D$98:$D$100))</f>
        <v>0.23333333333333331</v>
      </c>
      <c r="F98" s="40">
        <f>$D98*((1-F$97)/SUM($D$98:$D$100))</f>
        <v>0.56666666666666665</v>
      </c>
      <c r="G98" s="40">
        <f>C98*E98</f>
        <v>20999.999999999996</v>
      </c>
      <c r="H98" s="40">
        <f>C98*D98</f>
        <v>45000</v>
      </c>
      <c r="I98" s="40">
        <f>C98*F98</f>
        <v>51000</v>
      </c>
      <c r="J98" s="40"/>
      <c r="K98" s="40"/>
      <c r="L98" s="40"/>
    </row>
    <row r="99" spans="1:12" ht="15" customHeight="1">
      <c r="A99" s="100"/>
      <c r="B99" s="38" t="s">
        <v>10</v>
      </c>
      <c r="C99" s="39">
        <v>20000</v>
      </c>
      <c r="D99" s="38">
        <v>0.15</v>
      </c>
      <c r="E99" s="40">
        <f t="shared" ref="E99:F100" si="20">$D99*((1-E$97)/SUM($D$98:$D$100))</f>
        <v>6.9999999999999993E-2</v>
      </c>
      <c r="F99" s="40">
        <f t="shared" si="20"/>
        <v>0.16999999999999998</v>
      </c>
      <c r="G99" s="40">
        <f>C99*E99</f>
        <v>1399.9999999999998</v>
      </c>
      <c r="H99" s="40">
        <f>C99*D99</f>
        <v>3000</v>
      </c>
      <c r="I99" s="40">
        <f>C99*F99</f>
        <v>3399.9999999999995</v>
      </c>
      <c r="J99" s="40"/>
      <c r="K99" s="40"/>
      <c r="L99" s="40"/>
    </row>
    <row r="100" spans="1:12" ht="15" customHeight="1">
      <c r="A100" s="98"/>
      <c r="B100" s="41" t="s">
        <v>11</v>
      </c>
      <c r="C100" s="42">
        <v>-60000</v>
      </c>
      <c r="D100" s="41">
        <v>0.1</v>
      </c>
      <c r="E100" s="43">
        <f t="shared" si="20"/>
        <v>4.6666666666666662E-2</v>
      </c>
      <c r="F100" s="43">
        <f>$D100*((1-F$97)/SUM($D$98:$D$100))</f>
        <v>0.11333333333333334</v>
      </c>
      <c r="G100" s="43">
        <f>C100*E100</f>
        <v>-2799.9999999999995</v>
      </c>
      <c r="H100" s="43">
        <f>C100*D100</f>
        <v>-6000</v>
      </c>
      <c r="I100" s="43">
        <f>C100*F100</f>
        <v>-6800.0000000000009</v>
      </c>
      <c r="J100" s="43"/>
      <c r="K100" s="43"/>
      <c r="L100" s="43"/>
    </row>
    <row r="101" spans="1:12" ht="15" customHeight="1">
      <c r="A101" s="44"/>
      <c r="B101" s="44"/>
      <c r="C101" s="8"/>
      <c r="D101" s="7"/>
      <c r="F101" s="44"/>
      <c r="G101" s="44"/>
      <c r="H101" s="44"/>
      <c r="I101" s="44"/>
      <c r="J101" s="17"/>
      <c r="K101" s="17"/>
    </row>
    <row r="102" spans="1:12" ht="15" customHeight="1">
      <c r="A102" s="44"/>
      <c r="B102" s="7"/>
      <c r="C102" s="8"/>
      <c r="D102" s="7"/>
      <c r="F102" s="44"/>
      <c r="G102" s="44"/>
      <c r="H102" s="44"/>
      <c r="I102" s="44"/>
      <c r="J102" s="17"/>
      <c r="K102" s="17"/>
    </row>
    <row r="103" spans="1:12" ht="15" customHeight="1">
      <c r="A103" s="14" t="s">
        <v>71</v>
      </c>
      <c r="B103" s="54"/>
    </row>
    <row r="104" spans="1:12" ht="15" customHeight="1">
      <c r="A104" s="20" t="s">
        <v>3</v>
      </c>
      <c r="B104" s="20" t="s">
        <v>4</v>
      </c>
      <c r="C104" s="21" t="s">
        <v>5</v>
      </c>
      <c r="D104" s="35" t="s">
        <v>6</v>
      </c>
      <c r="E104" s="36" t="s">
        <v>72</v>
      </c>
      <c r="F104" s="37" t="s">
        <v>73</v>
      </c>
      <c r="G104" s="37" t="s">
        <v>74</v>
      </c>
      <c r="H104" s="47" t="s">
        <v>45</v>
      </c>
      <c r="I104" s="37" t="s">
        <v>75</v>
      </c>
      <c r="J104" s="37" t="s">
        <v>76</v>
      </c>
      <c r="K104" s="37" t="s">
        <v>48</v>
      </c>
      <c r="L104" s="37" t="s">
        <v>77</v>
      </c>
    </row>
    <row r="105" spans="1:12" ht="15" customHeight="1">
      <c r="A105" s="100" t="s">
        <v>7</v>
      </c>
      <c r="B105" s="27" t="s">
        <v>8</v>
      </c>
      <c r="C105" s="28">
        <v>300000</v>
      </c>
      <c r="D105" s="27">
        <v>0.2</v>
      </c>
      <c r="E105" s="29">
        <f>D105+0.5</f>
        <v>0.7</v>
      </c>
      <c r="F105" s="29">
        <f>D105-0.5</f>
        <v>-0.3</v>
      </c>
      <c r="G105" s="29">
        <f>C105*E105</f>
        <v>210000</v>
      </c>
      <c r="H105" s="29">
        <f>C105*D105</f>
        <v>60000</v>
      </c>
      <c r="I105" s="29">
        <f>C105*F105</f>
        <v>-90000</v>
      </c>
      <c r="J105" s="29">
        <f>SUM(G105:G108)</f>
        <v>233437.5</v>
      </c>
      <c r="K105" s="29">
        <f>SUM(H105:H108)</f>
        <v>122500</v>
      </c>
      <c r="L105" s="29">
        <f>SUM(I105:I108)</f>
        <v>11562.5</v>
      </c>
    </row>
    <row r="106" spans="1:12" ht="15" customHeight="1">
      <c r="A106" s="100"/>
      <c r="B106" s="38" t="s">
        <v>9</v>
      </c>
      <c r="C106" s="39">
        <v>120000</v>
      </c>
      <c r="D106" s="38">
        <v>0.5</v>
      </c>
      <c r="E106" s="40">
        <f t="shared" ref="E106:F108" si="21">$D106*((1-E$105)/SUM($D$106:$D$108))</f>
        <v>0.18750000000000003</v>
      </c>
      <c r="F106" s="40">
        <f t="shared" si="21"/>
        <v>0.8125</v>
      </c>
      <c r="G106" s="40">
        <f>C106*E106</f>
        <v>22500.000000000004</v>
      </c>
      <c r="H106" s="40">
        <f>C106*D106</f>
        <v>60000</v>
      </c>
      <c r="I106" s="40">
        <f>C106*F106</f>
        <v>97500</v>
      </c>
      <c r="J106" s="40"/>
      <c r="K106" s="40"/>
      <c r="L106" s="40"/>
    </row>
    <row r="107" spans="1:12" ht="15" customHeight="1">
      <c r="A107" s="100"/>
      <c r="B107" s="38" t="s">
        <v>10</v>
      </c>
      <c r="C107" s="39">
        <v>30000</v>
      </c>
      <c r="D107" s="38">
        <v>0.25</v>
      </c>
      <c r="E107" s="40">
        <f t="shared" si="21"/>
        <v>9.3750000000000014E-2</v>
      </c>
      <c r="F107" s="40">
        <f t="shared" si="21"/>
        <v>0.40625</v>
      </c>
      <c r="G107" s="40">
        <f>C107*E107</f>
        <v>2812.5000000000005</v>
      </c>
      <c r="H107" s="40">
        <f>C107*D107</f>
        <v>7500</v>
      </c>
      <c r="I107" s="40">
        <f>C107*F107</f>
        <v>12187.5</v>
      </c>
      <c r="J107" s="40"/>
      <c r="K107" s="40"/>
      <c r="L107" s="40"/>
    </row>
    <row r="108" spans="1:12" ht="15" customHeight="1">
      <c r="A108" s="98"/>
      <c r="B108" s="41" t="s">
        <v>11</v>
      </c>
      <c r="C108" s="42">
        <v>-100000</v>
      </c>
      <c r="D108" s="41">
        <v>0.05</v>
      </c>
      <c r="E108" s="43">
        <f t="shared" si="21"/>
        <v>1.8750000000000003E-2</v>
      </c>
      <c r="F108" s="43">
        <f t="shared" si="21"/>
        <v>8.1250000000000003E-2</v>
      </c>
      <c r="G108" s="43">
        <f>C108*E108</f>
        <v>-1875.0000000000002</v>
      </c>
      <c r="H108" s="43">
        <f>C108*D108</f>
        <v>-5000</v>
      </c>
      <c r="I108" s="43">
        <f>C108*F108</f>
        <v>-8125</v>
      </c>
      <c r="J108" s="43"/>
      <c r="K108" s="43"/>
      <c r="L108" s="43"/>
    </row>
    <row r="110" spans="1:12" ht="15" customHeight="1">
      <c r="A110" s="20" t="s">
        <v>3</v>
      </c>
      <c r="B110" s="20" t="s">
        <v>4</v>
      </c>
      <c r="C110" s="21" t="s">
        <v>5</v>
      </c>
      <c r="D110" s="35" t="s">
        <v>6</v>
      </c>
      <c r="E110" s="36" t="s">
        <v>72</v>
      </c>
      <c r="F110" s="37" t="s">
        <v>73</v>
      </c>
      <c r="G110" s="37" t="s">
        <v>74</v>
      </c>
      <c r="H110" s="47" t="s">
        <v>45</v>
      </c>
      <c r="I110" s="37" t="s">
        <v>75</v>
      </c>
      <c r="J110" s="37" t="s">
        <v>76</v>
      </c>
      <c r="K110" s="37" t="s">
        <v>48</v>
      </c>
      <c r="L110" s="37" t="s">
        <v>77</v>
      </c>
    </row>
    <row r="111" spans="1:12" ht="15" customHeight="1">
      <c r="A111" s="100" t="s">
        <v>12</v>
      </c>
      <c r="B111" s="27" t="s">
        <v>8</v>
      </c>
      <c r="C111" s="28">
        <v>400000</v>
      </c>
      <c r="D111" s="27">
        <v>0.15</v>
      </c>
      <c r="E111" s="29">
        <f>D111+0.5</f>
        <v>0.65</v>
      </c>
      <c r="F111" s="40">
        <f>$D111*((1-F$25)/SUM($D$26:$D$28))</f>
        <v>0.16874999999999998</v>
      </c>
      <c r="G111" s="29">
        <f>C111*E111</f>
        <v>260000</v>
      </c>
      <c r="H111" s="29">
        <f>C111*D111</f>
        <v>60000</v>
      </c>
      <c r="I111" s="29">
        <f>C111*F111</f>
        <v>67500</v>
      </c>
      <c r="J111" s="29">
        <f>SUM(G111:G114)</f>
        <v>292735.29411764705</v>
      </c>
      <c r="K111" s="29">
        <f>SUM(H111:H114)</f>
        <v>139500</v>
      </c>
      <c r="L111" s="29">
        <f>SUM(I111:I114)</f>
        <v>145246.32352941178</v>
      </c>
    </row>
    <row r="112" spans="1:12" ht="15" customHeight="1">
      <c r="A112" s="101"/>
      <c r="B112" s="38" t="s">
        <v>9</v>
      </c>
      <c r="C112" s="39">
        <v>150000</v>
      </c>
      <c r="D112" s="38">
        <v>0.5</v>
      </c>
      <c r="E112" s="40">
        <f t="shared" ref="E112:F114" si="22">$D112*((1-E$111)/SUM($D$112:$D$114))</f>
        <v>0.20588235294117646</v>
      </c>
      <c r="F112" s="40">
        <f t="shared" si="22"/>
        <v>0.48897058823529416</v>
      </c>
      <c r="G112" s="40">
        <f>C112*E112</f>
        <v>30882.352941176468</v>
      </c>
      <c r="H112" s="40">
        <f>C112*D112</f>
        <v>75000</v>
      </c>
      <c r="I112" s="40">
        <f>C112*F112</f>
        <v>73345.588235294126</v>
      </c>
      <c r="J112" s="40"/>
      <c r="K112" s="40"/>
      <c r="L112" s="40"/>
    </row>
    <row r="113" spans="1:12" ht="15" customHeight="1">
      <c r="A113" s="101"/>
      <c r="B113" s="38" t="s">
        <v>10</v>
      </c>
      <c r="C113" s="39">
        <v>50000</v>
      </c>
      <c r="D113" s="38">
        <v>0.25</v>
      </c>
      <c r="E113" s="40">
        <f t="shared" si="22"/>
        <v>0.10294117647058823</v>
      </c>
      <c r="F113" s="40">
        <f t="shared" si="22"/>
        <v>0.24448529411764708</v>
      </c>
      <c r="G113" s="40">
        <f>C113*E113</f>
        <v>5147.0588235294117</v>
      </c>
      <c r="H113" s="40">
        <f>C113*D113</f>
        <v>12500</v>
      </c>
      <c r="I113" s="40">
        <f>C113*F113</f>
        <v>12224.264705882353</v>
      </c>
      <c r="J113" s="40"/>
      <c r="K113" s="40"/>
      <c r="L113" s="40"/>
    </row>
    <row r="114" spans="1:12" ht="15" customHeight="1">
      <c r="A114" s="104"/>
      <c r="B114" s="41" t="s">
        <v>11</v>
      </c>
      <c r="C114" s="42">
        <v>-80000</v>
      </c>
      <c r="D114" s="41">
        <v>0.1</v>
      </c>
      <c r="E114" s="43">
        <f t="shared" si="22"/>
        <v>4.1176470588235294E-2</v>
      </c>
      <c r="F114" s="43">
        <f t="shared" si="22"/>
        <v>9.7794117647058837E-2</v>
      </c>
      <c r="G114" s="43">
        <f>C114*E114</f>
        <v>-3294.1176470588234</v>
      </c>
      <c r="H114" s="43">
        <f>C114*D114</f>
        <v>-8000</v>
      </c>
      <c r="I114" s="43">
        <f>C114*F114</f>
        <v>-7823.5294117647072</v>
      </c>
      <c r="J114" s="43"/>
      <c r="K114" s="43"/>
      <c r="L114" s="43"/>
    </row>
    <row r="116" spans="1:12" ht="15" customHeight="1">
      <c r="A116" s="20" t="s">
        <v>3</v>
      </c>
      <c r="B116" s="20" t="s">
        <v>4</v>
      </c>
      <c r="C116" s="21" t="s">
        <v>5</v>
      </c>
      <c r="D116" s="35" t="s">
        <v>6</v>
      </c>
      <c r="E116" s="36" t="s">
        <v>72</v>
      </c>
      <c r="F116" s="37" t="s">
        <v>73</v>
      </c>
      <c r="G116" s="37" t="s">
        <v>74</v>
      </c>
      <c r="H116" s="47" t="s">
        <v>45</v>
      </c>
      <c r="I116" s="37" t="s">
        <v>75</v>
      </c>
      <c r="J116" s="37" t="s">
        <v>76</v>
      </c>
      <c r="K116" s="37" t="s">
        <v>48</v>
      </c>
      <c r="L116" s="37" t="s">
        <v>77</v>
      </c>
    </row>
    <row r="117" spans="1:12" ht="15" customHeight="1">
      <c r="A117" s="100" t="s">
        <v>13</v>
      </c>
      <c r="B117" s="27" t="s">
        <v>8</v>
      </c>
      <c r="C117" s="28">
        <v>250000</v>
      </c>
      <c r="D117" s="27">
        <v>0.25</v>
      </c>
      <c r="E117" s="29">
        <f>D117+0.5</f>
        <v>0.75</v>
      </c>
      <c r="F117" s="29">
        <f>D117-0.1</f>
        <v>0.15</v>
      </c>
      <c r="G117" s="29">
        <f>C117*E117</f>
        <v>187500</v>
      </c>
      <c r="H117" s="29">
        <f>C117*D117</f>
        <v>62500</v>
      </c>
      <c r="I117" s="29">
        <f>C117*F117</f>
        <v>37500</v>
      </c>
      <c r="J117" s="29">
        <f>SUM(G117:G120)</f>
        <v>201500</v>
      </c>
      <c r="K117" s="29">
        <f>SUM(H117:H120)</f>
        <v>104500</v>
      </c>
      <c r="L117" s="29">
        <f>SUM(I117:I120)</f>
        <v>85100</v>
      </c>
    </row>
    <row r="118" spans="1:12" ht="15" customHeight="1">
      <c r="A118" s="100"/>
      <c r="B118" s="38" t="s">
        <v>9</v>
      </c>
      <c r="C118" s="39">
        <v>90000</v>
      </c>
      <c r="D118" s="38">
        <v>0.5</v>
      </c>
      <c r="E118" s="40">
        <f t="shared" ref="E118:F120" si="23">$D118*((1-E$117)/SUM($D$118:$D$120))</f>
        <v>0.16666666666666666</v>
      </c>
      <c r="F118" s="40">
        <f t="shared" si="23"/>
        <v>0.56666666666666665</v>
      </c>
      <c r="G118" s="40">
        <f>C118*E118</f>
        <v>15000</v>
      </c>
      <c r="H118" s="40">
        <f>C118*D118</f>
        <v>45000</v>
      </c>
      <c r="I118" s="40">
        <f>C118*F118</f>
        <v>51000</v>
      </c>
      <c r="J118" s="40"/>
      <c r="K118" s="40"/>
      <c r="L118" s="40"/>
    </row>
    <row r="119" spans="1:12" ht="15" customHeight="1">
      <c r="A119" s="100"/>
      <c r="B119" s="38" t="s">
        <v>10</v>
      </c>
      <c r="C119" s="39">
        <v>20000</v>
      </c>
      <c r="D119" s="38">
        <v>0.15</v>
      </c>
      <c r="E119" s="40">
        <f t="shared" si="23"/>
        <v>4.9999999999999996E-2</v>
      </c>
      <c r="F119" s="40">
        <f t="shared" si="23"/>
        <v>0.16999999999999998</v>
      </c>
      <c r="G119" s="40">
        <f>C119*E119</f>
        <v>999.99999999999989</v>
      </c>
      <c r="H119" s="40">
        <f>C119*D119</f>
        <v>3000</v>
      </c>
      <c r="I119" s="40">
        <f>C119*F119</f>
        <v>3399.9999999999995</v>
      </c>
      <c r="J119" s="40"/>
      <c r="K119" s="40"/>
      <c r="L119" s="40"/>
    </row>
    <row r="120" spans="1:12" ht="15" customHeight="1">
      <c r="A120" s="98"/>
      <c r="B120" s="41" t="s">
        <v>11</v>
      </c>
      <c r="C120" s="42">
        <v>-60000</v>
      </c>
      <c r="D120" s="41">
        <v>0.1</v>
      </c>
      <c r="E120" s="43">
        <f t="shared" si="23"/>
        <v>3.3333333333333333E-2</v>
      </c>
      <c r="F120" s="43">
        <f t="shared" si="23"/>
        <v>0.11333333333333334</v>
      </c>
      <c r="G120" s="43">
        <f>C120*E120</f>
        <v>-2000</v>
      </c>
      <c r="H120" s="43">
        <f>C120*D120</f>
        <v>-6000</v>
      </c>
      <c r="I120" s="43">
        <f>C120*F120</f>
        <v>-6800.0000000000009</v>
      </c>
      <c r="J120" s="43"/>
      <c r="K120" s="43"/>
      <c r="L120" s="43"/>
    </row>
    <row r="121" spans="1:12" ht="15" customHeight="1">
      <c r="A121" s="44"/>
      <c r="B121" s="44"/>
      <c r="C121" s="8"/>
      <c r="D121" s="7"/>
      <c r="F121" s="44"/>
      <c r="G121" s="44"/>
      <c r="H121" s="44"/>
      <c r="I121" s="44"/>
      <c r="J121" s="17"/>
      <c r="K121" s="17"/>
    </row>
    <row r="122" spans="1:12" ht="15" customHeight="1">
      <c r="A122" s="44"/>
      <c r="B122" s="7"/>
      <c r="C122" s="8"/>
      <c r="D122" s="7"/>
      <c r="F122" s="44"/>
      <c r="G122" s="44"/>
      <c r="H122" s="44"/>
      <c r="I122" s="44"/>
      <c r="J122" s="17"/>
      <c r="K122" s="17"/>
    </row>
    <row r="123" spans="1:12" ht="15" customHeight="1">
      <c r="A123" s="14" t="s">
        <v>78</v>
      </c>
      <c r="B123" s="54"/>
    </row>
    <row r="124" spans="1:12" ht="15" customHeight="1">
      <c r="A124" s="20" t="s">
        <v>3</v>
      </c>
      <c r="B124" s="20" t="s">
        <v>4</v>
      </c>
      <c r="C124" s="21" t="s">
        <v>5</v>
      </c>
      <c r="D124" s="35" t="s">
        <v>6</v>
      </c>
      <c r="E124" s="36" t="s">
        <v>79</v>
      </c>
      <c r="F124" s="37" t="s">
        <v>80</v>
      </c>
      <c r="G124" s="37" t="s">
        <v>81</v>
      </c>
      <c r="H124" s="47" t="s">
        <v>45</v>
      </c>
      <c r="I124" s="37" t="s">
        <v>82</v>
      </c>
      <c r="J124" s="37" t="s">
        <v>83</v>
      </c>
      <c r="K124" s="37" t="s">
        <v>48</v>
      </c>
      <c r="L124" s="37" t="s">
        <v>84</v>
      </c>
    </row>
    <row r="125" spans="1:12" ht="15" customHeight="1">
      <c r="A125" s="100" t="s">
        <v>7</v>
      </c>
      <c r="B125" s="27" t="s">
        <v>8</v>
      </c>
      <c r="C125" s="28">
        <v>300000</v>
      </c>
      <c r="D125" s="27">
        <v>0.2</v>
      </c>
      <c r="E125" s="29">
        <f>D125+0.6</f>
        <v>0.8</v>
      </c>
      <c r="F125" s="29">
        <f>D125-0.6</f>
        <v>-0.39999999999999997</v>
      </c>
      <c r="G125" s="29">
        <f>C125*E125</f>
        <v>240000</v>
      </c>
      <c r="H125" s="29">
        <f>C125*D125</f>
        <v>60000</v>
      </c>
      <c r="I125" s="29">
        <f>C125*F125</f>
        <v>-119999.99999999999</v>
      </c>
      <c r="J125" s="29">
        <f>SUM(G125:G128)</f>
        <v>255625</v>
      </c>
      <c r="K125" s="29">
        <f>SUM(H125:H128)</f>
        <v>122500</v>
      </c>
      <c r="L125" s="29">
        <f>SUM(I125:I128)</f>
        <v>-10625.000000000002</v>
      </c>
    </row>
    <row r="126" spans="1:12" ht="15" customHeight="1">
      <c r="A126" s="100"/>
      <c r="B126" s="38" t="s">
        <v>9</v>
      </c>
      <c r="C126" s="39">
        <v>120000</v>
      </c>
      <c r="D126" s="38">
        <v>0.5</v>
      </c>
      <c r="E126" s="40">
        <f t="shared" ref="E126:F128" si="24">$D126*((1-E$125)/SUM($D$126:$D$128))</f>
        <v>0.12499999999999997</v>
      </c>
      <c r="F126" s="40">
        <f t="shared" si="24"/>
        <v>0.87499999999999989</v>
      </c>
      <c r="G126" s="40">
        <f>C126*E126</f>
        <v>14999.999999999996</v>
      </c>
      <c r="H126" s="40">
        <f>C126*D126</f>
        <v>60000</v>
      </c>
      <c r="I126" s="40">
        <f>C126*F126</f>
        <v>104999.99999999999</v>
      </c>
      <c r="J126" s="40"/>
      <c r="K126" s="40"/>
      <c r="L126" s="40"/>
    </row>
    <row r="127" spans="1:12" ht="15" customHeight="1">
      <c r="A127" s="100"/>
      <c r="B127" s="38" t="s">
        <v>10</v>
      </c>
      <c r="C127" s="39">
        <v>30000</v>
      </c>
      <c r="D127" s="38">
        <v>0.25</v>
      </c>
      <c r="E127" s="40">
        <f t="shared" si="24"/>
        <v>6.2499999999999986E-2</v>
      </c>
      <c r="F127" s="40">
        <f t="shared" si="24"/>
        <v>0.43749999999999994</v>
      </c>
      <c r="G127" s="40">
        <f>C127*E127</f>
        <v>1874.9999999999995</v>
      </c>
      <c r="H127" s="40">
        <f>C127*D127</f>
        <v>7500</v>
      </c>
      <c r="I127" s="40">
        <f>C127*F127</f>
        <v>13124.999999999998</v>
      </c>
      <c r="J127" s="40"/>
      <c r="K127" s="40"/>
      <c r="L127" s="40"/>
    </row>
    <row r="128" spans="1:12" ht="15" customHeight="1">
      <c r="A128" s="98"/>
      <c r="B128" s="41" t="s">
        <v>11</v>
      </c>
      <c r="C128" s="42">
        <v>-100000</v>
      </c>
      <c r="D128" s="41">
        <v>0.05</v>
      </c>
      <c r="E128" s="43">
        <f t="shared" si="24"/>
        <v>1.2499999999999997E-2</v>
      </c>
      <c r="F128" s="43">
        <f t="shared" si="24"/>
        <v>8.7499999999999994E-2</v>
      </c>
      <c r="G128" s="43">
        <f>C128*E128</f>
        <v>-1249.9999999999998</v>
      </c>
      <c r="H128" s="43">
        <f>C128*D128</f>
        <v>-5000</v>
      </c>
      <c r="I128" s="43">
        <f>C128*F128</f>
        <v>-8750</v>
      </c>
      <c r="J128" s="43"/>
      <c r="K128" s="43"/>
      <c r="L128" s="43"/>
    </row>
    <row r="130" spans="1:12" ht="15" customHeight="1">
      <c r="A130" s="20" t="s">
        <v>3</v>
      </c>
      <c r="B130" s="20" t="s">
        <v>4</v>
      </c>
      <c r="C130" s="21" t="s">
        <v>5</v>
      </c>
      <c r="D130" s="35" t="s">
        <v>6</v>
      </c>
      <c r="E130" s="36" t="s">
        <v>79</v>
      </c>
      <c r="F130" s="37" t="s">
        <v>80</v>
      </c>
      <c r="G130" s="37" t="s">
        <v>81</v>
      </c>
      <c r="H130" s="47" t="s">
        <v>45</v>
      </c>
      <c r="I130" s="37" t="s">
        <v>82</v>
      </c>
      <c r="J130" s="37" t="s">
        <v>83</v>
      </c>
      <c r="K130" s="37" t="s">
        <v>48</v>
      </c>
      <c r="L130" s="37" t="s">
        <v>84</v>
      </c>
    </row>
    <row r="131" spans="1:12" ht="15" customHeight="1">
      <c r="A131" s="100" t="s">
        <v>12</v>
      </c>
      <c r="B131" s="27" t="s">
        <v>8</v>
      </c>
      <c r="C131" s="28">
        <v>400000</v>
      </c>
      <c r="D131" s="27">
        <v>0.15</v>
      </c>
      <c r="E131" s="29">
        <f>D131+0.6</f>
        <v>0.75</v>
      </c>
      <c r="F131" s="40">
        <f>$D131*((1-F$25)/SUM($D$26:$D$28))</f>
        <v>0.16874999999999998</v>
      </c>
      <c r="G131" s="29">
        <f>C131*E131</f>
        <v>300000</v>
      </c>
      <c r="H131" s="29">
        <f>C131*D131</f>
        <v>60000</v>
      </c>
      <c r="I131" s="29">
        <f>C131*F131</f>
        <v>67500</v>
      </c>
      <c r="J131" s="29">
        <f>SUM(G131:G134)</f>
        <v>323382.35294117645</v>
      </c>
      <c r="K131" s="29">
        <f>SUM(H131:H134)</f>
        <v>139500</v>
      </c>
      <c r="L131" s="29">
        <f>SUM(I131:I134)</f>
        <v>145246.32352941178</v>
      </c>
    </row>
    <row r="132" spans="1:12" ht="15" customHeight="1">
      <c r="A132" s="101"/>
      <c r="B132" s="38" t="s">
        <v>9</v>
      </c>
      <c r="C132" s="39">
        <v>150000</v>
      </c>
      <c r="D132" s="38">
        <v>0.5</v>
      </c>
      <c r="E132" s="40">
        <f t="shared" ref="E132:F134" si="25">$D132*((1-E$131)/SUM($D$132:$D$134))</f>
        <v>0.14705882352941177</v>
      </c>
      <c r="F132" s="40">
        <f t="shared" si="25"/>
        <v>0.48897058823529416</v>
      </c>
      <c r="G132" s="40">
        <f>C132*E132</f>
        <v>22058.823529411766</v>
      </c>
      <c r="H132" s="40">
        <f>C132*D132</f>
        <v>75000</v>
      </c>
      <c r="I132" s="40">
        <f>C132*F132</f>
        <v>73345.588235294126</v>
      </c>
      <c r="J132" s="40"/>
      <c r="K132" s="40"/>
      <c r="L132" s="40"/>
    </row>
    <row r="133" spans="1:12" ht="15" customHeight="1">
      <c r="A133" s="101"/>
      <c r="B133" s="38" t="s">
        <v>10</v>
      </c>
      <c r="C133" s="39">
        <v>50000</v>
      </c>
      <c r="D133" s="38">
        <v>0.25</v>
      </c>
      <c r="E133" s="40">
        <f t="shared" si="25"/>
        <v>7.3529411764705885E-2</v>
      </c>
      <c r="F133" s="40">
        <f t="shared" si="25"/>
        <v>0.24448529411764708</v>
      </c>
      <c r="G133" s="40">
        <f>C133*E133</f>
        <v>3676.4705882352941</v>
      </c>
      <c r="H133" s="40">
        <f>C133*D133</f>
        <v>12500</v>
      </c>
      <c r="I133" s="40">
        <f>C133*F133</f>
        <v>12224.264705882353</v>
      </c>
      <c r="J133" s="40"/>
      <c r="K133" s="40"/>
      <c r="L133" s="40"/>
    </row>
    <row r="134" spans="1:12" ht="15" customHeight="1">
      <c r="A134" s="104"/>
      <c r="B134" s="41" t="s">
        <v>11</v>
      </c>
      <c r="C134" s="42">
        <v>-80000</v>
      </c>
      <c r="D134" s="41">
        <v>0.1</v>
      </c>
      <c r="E134" s="43">
        <f t="shared" si="25"/>
        <v>2.9411764705882356E-2</v>
      </c>
      <c r="F134" s="43">
        <f t="shared" si="25"/>
        <v>9.7794117647058837E-2</v>
      </c>
      <c r="G134" s="43">
        <f>C134*E134</f>
        <v>-2352.9411764705883</v>
      </c>
      <c r="H134" s="43">
        <f>C134*D134</f>
        <v>-8000</v>
      </c>
      <c r="I134" s="43">
        <f>C134*F134</f>
        <v>-7823.5294117647072</v>
      </c>
      <c r="J134" s="43"/>
      <c r="K134" s="43"/>
      <c r="L134" s="43"/>
    </row>
    <row r="136" spans="1:12" ht="15" customHeight="1">
      <c r="A136" s="20" t="s">
        <v>3</v>
      </c>
      <c r="B136" s="20" t="s">
        <v>4</v>
      </c>
      <c r="C136" s="21" t="s">
        <v>5</v>
      </c>
      <c r="D136" s="35" t="s">
        <v>6</v>
      </c>
      <c r="E136" s="36" t="s">
        <v>79</v>
      </c>
      <c r="F136" s="37" t="s">
        <v>80</v>
      </c>
      <c r="G136" s="37" t="s">
        <v>81</v>
      </c>
      <c r="H136" s="47" t="s">
        <v>45</v>
      </c>
      <c r="I136" s="37" t="s">
        <v>82</v>
      </c>
      <c r="J136" s="37" t="s">
        <v>83</v>
      </c>
      <c r="K136" s="37" t="s">
        <v>48</v>
      </c>
      <c r="L136" s="37" t="s">
        <v>84</v>
      </c>
    </row>
    <row r="137" spans="1:12" ht="15" customHeight="1">
      <c r="A137" s="100" t="s">
        <v>13</v>
      </c>
      <c r="B137" s="27" t="s">
        <v>8</v>
      </c>
      <c r="C137" s="28">
        <v>250000</v>
      </c>
      <c r="D137" s="27">
        <v>0.25</v>
      </c>
      <c r="E137" s="29">
        <f>D137+0.6</f>
        <v>0.85</v>
      </c>
      <c r="F137" s="29">
        <f>D137-0.6</f>
        <v>-0.35</v>
      </c>
      <c r="G137" s="29">
        <f>C137*E137</f>
        <v>212500</v>
      </c>
      <c r="H137" s="29">
        <f>C137*D137</f>
        <v>62500</v>
      </c>
      <c r="I137" s="29">
        <f>C137*F137</f>
        <v>-87500</v>
      </c>
      <c r="J137" s="29">
        <f>SUM(G137:G140)</f>
        <v>220900</v>
      </c>
      <c r="K137" s="29">
        <f>SUM(H137:H140)</f>
        <v>104500</v>
      </c>
      <c r="L137" s="29">
        <f>SUM(I137:I140)</f>
        <v>-11900.000000000002</v>
      </c>
    </row>
    <row r="138" spans="1:12" ht="15" customHeight="1">
      <c r="A138" s="100"/>
      <c r="B138" s="38" t="s">
        <v>9</v>
      </c>
      <c r="C138" s="39">
        <v>90000</v>
      </c>
      <c r="D138" s="38">
        <v>0.5</v>
      </c>
      <c r="E138" s="40">
        <f t="shared" ref="E138:F140" si="26">$D138*((1-E$137)/SUM($D$138:$D$140))</f>
        <v>0.10000000000000002</v>
      </c>
      <c r="F138" s="40">
        <f t="shared" si="26"/>
        <v>0.9</v>
      </c>
      <c r="G138" s="40">
        <f>C138*E138</f>
        <v>9000.0000000000018</v>
      </c>
      <c r="H138" s="40">
        <f>C138*D138</f>
        <v>45000</v>
      </c>
      <c r="I138" s="40">
        <f>C138*F138</f>
        <v>81000</v>
      </c>
      <c r="J138" s="40"/>
      <c r="K138" s="40"/>
      <c r="L138" s="40"/>
    </row>
    <row r="139" spans="1:12" ht="15" customHeight="1">
      <c r="A139" s="100"/>
      <c r="B139" s="38" t="s">
        <v>10</v>
      </c>
      <c r="C139" s="39">
        <v>20000</v>
      </c>
      <c r="D139" s="38">
        <v>0.15</v>
      </c>
      <c r="E139" s="40">
        <f t="shared" si="26"/>
        <v>3.0000000000000006E-2</v>
      </c>
      <c r="F139" s="40">
        <f t="shared" si="26"/>
        <v>0.27</v>
      </c>
      <c r="G139" s="40">
        <f>C139*E139</f>
        <v>600.00000000000011</v>
      </c>
      <c r="H139" s="40">
        <f>C139*D139</f>
        <v>3000</v>
      </c>
      <c r="I139" s="40">
        <f>C139*F139</f>
        <v>5400</v>
      </c>
      <c r="J139" s="40"/>
      <c r="K139" s="40"/>
      <c r="L139" s="40"/>
    </row>
    <row r="140" spans="1:12" ht="15" customHeight="1">
      <c r="A140" s="98"/>
      <c r="B140" s="41" t="s">
        <v>11</v>
      </c>
      <c r="C140" s="42">
        <v>-60000</v>
      </c>
      <c r="D140" s="41">
        <v>0.1</v>
      </c>
      <c r="E140" s="43">
        <f t="shared" si="26"/>
        <v>2.0000000000000004E-2</v>
      </c>
      <c r="F140" s="43">
        <f t="shared" si="26"/>
        <v>0.18000000000000002</v>
      </c>
      <c r="G140" s="43">
        <f>C140*E140</f>
        <v>-1200.0000000000002</v>
      </c>
      <c r="H140" s="65">
        <f>C140*D140</f>
        <v>-6000</v>
      </c>
      <c r="I140" s="43">
        <f>C140*F140</f>
        <v>-10800.000000000002</v>
      </c>
      <c r="J140" s="43"/>
      <c r="K140" s="43"/>
      <c r="L140" s="43"/>
    </row>
    <row r="141" spans="1:12" ht="15" customHeight="1">
      <c r="A141" s="44"/>
      <c r="B141" s="44"/>
      <c r="C141" s="8"/>
      <c r="D141" s="7"/>
      <c r="F141" s="44"/>
      <c r="G141" s="44"/>
      <c r="H141" s="44"/>
      <c r="I141" s="44"/>
      <c r="J141" s="17"/>
      <c r="K141" s="17"/>
    </row>
    <row r="142" spans="1:12" ht="15" customHeight="1">
      <c r="A142" s="44"/>
      <c r="B142" s="7"/>
      <c r="C142" s="8"/>
      <c r="D142" s="7"/>
      <c r="F142" s="44"/>
      <c r="G142" s="44"/>
      <c r="H142" s="44"/>
      <c r="I142" s="44"/>
      <c r="J142" s="17"/>
      <c r="K142" s="17"/>
    </row>
    <row r="143" spans="1:12" ht="15" customHeight="1">
      <c r="A143" s="14" t="s">
        <v>85</v>
      </c>
      <c r="B143" s="54"/>
    </row>
    <row r="144" spans="1:12" ht="15" customHeight="1">
      <c r="A144" s="20" t="s">
        <v>3</v>
      </c>
      <c r="B144" s="20" t="s">
        <v>4</v>
      </c>
      <c r="C144" s="21" t="s">
        <v>5</v>
      </c>
      <c r="D144" s="35" t="s">
        <v>6</v>
      </c>
      <c r="E144" s="36" t="s">
        <v>86</v>
      </c>
      <c r="F144" s="37" t="s">
        <v>87</v>
      </c>
      <c r="G144" s="37" t="s">
        <v>88</v>
      </c>
      <c r="H144" s="47" t="s">
        <v>45</v>
      </c>
      <c r="I144" s="37" t="s">
        <v>89</v>
      </c>
      <c r="J144" s="37" t="s">
        <v>90</v>
      </c>
      <c r="K144" s="37" t="s">
        <v>48</v>
      </c>
      <c r="L144" s="37" t="s">
        <v>91</v>
      </c>
    </row>
    <row r="145" spans="1:12" ht="15" customHeight="1">
      <c r="A145" s="100" t="s">
        <v>7</v>
      </c>
      <c r="B145" s="27" t="s">
        <v>8</v>
      </c>
      <c r="C145" s="28">
        <v>300000</v>
      </c>
      <c r="D145" s="27">
        <v>0.2</v>
      </c>
      <c r="E145" s="29">
        <f>D145+0.7</f>
        <v>0.89999999999999991</v>
      </c>
      <c r="F145" s="29">
        <f>D145-0.7</f>
        <v>-0.49999999999999994</v>
      </c>
      <c r="G145" s="29">
        <f>C145*E145</f>
        <v>270000</v>
      </c>
      <c r="H145" s="29">
        <f>C145*D145</f>
        <v>60000</v>
      </c>
      <c r="I145" s="29">
        <f>C145*F145</f>
        <v>-149999.99999999997</v>
      </c>
      <c r="J145" s="29">
        <f>SUM(G145:G148)</f>
        <v>277812.5</v>
      </c>
      <c r="K145" s="29">
        <f>SUM(H145:H148)</f>
        <v>122500</v>
      </c>
      <c r="L145" s="29">
        <f>SUM(I145:I148)</f>
        <v>-32812.499999999971</v>
      </c>
    </row>
    <row r="146" spans="1:12" ht="15" customHeight="1">
      <c r="A146" s="100"/>
      <c r="B146" s="38" t="s">
        <v>9</v>
      </c>
      <c r="C146" s="39">
        <v>120000</v>
      </c>
      <c r="D146" s="38">
        <v>0.5</v>
      </c>
      <c r="E146" s="40">
        <f>$D146*((1-E$145)/SUM($D$146:$D$148))</f>
        <v>6.2500000000000056E-2</v>
      </c>
      <c r="F146" s="40">
        <f>$D146*((1-F$145)/SUM($D$146:$D$148))</f>
        <v>0.9375</v>
      </c>
      <c r="G146" s="40">
        <f>C146*E146</f>
        <v>7500.0000000000064</v>
      </c>
      <c r="H146" s="40">
        <f>C146*D146</f>
        <v>60000</v>
      </c>
      <c r="I146" s="40">
        <f>C146*F146</f>
        <v>112500</v>
      </c>
      <c r="J146" s="40"/>
      <c r="K146" s="40"/>
      <c r="L146" s="40"/>
    </row>
    <row r="147" spans="1:12" ht="15" customHeight="1">
      <c r="A147" s="100"/>
      <c r="B147" s="38" t="s">
        <v>10</v>
      </c>
      <c r="C147" s="39">
        <v>30000</v>
      </c>
      <c r="D147" s="38">
        <v>0.25</v>
      </c>
      <c r="E147" s="40">
        <f t="shared" ref="E147:F148" si="27">$D147*((1-E$145)/SUM($D$146:$D$148))</f>
        <v>3.1250000000000028E-2</v>
      </c>
      <c r="F147" s="40">
        <f t="shared" si="27"/>
        <v>0.46875</v>
      </c>
      <c r="G147" s="40">
        <f>C147*E147</f>
        <v>937.5000000000008</v>
      </c>
      <c r="H147" s="40">
        <f>C147*D147</f>
        <v>7500</v>
      </c>
      <c r="I147" s="40">
        <f>C147*F147</f>
        <v>14062.5</v>
      </c>
      <c r="J147" s="40"/>
      <c r="K147" s="40"/>
      <c r="L147" s="40"/>
    </row>
    <row r="148" spans="1:12" ht="15" customHeight="1">
      <c r="A148" s="98"/>
      <c r="B148" s="41" t="s">
        <v>11</v>
      </c>
      <c r="C148" s="42">
        <v>-100000</v>
      </c>
      <c r="D148" s="41">
        <v>0.05</v>
      </c>
      <c r="E148" s="43">
        <f t="shared" si="27"/>
        <v>6.2500000000000056E-3</v>
      </c>
      <c r="F148" s="43">
        <f t="shared" si="27"/>
        <v>9.375E-2</v>
      </c>
      <c r="G148" s="43">
        <f>C148*E148</f>
        <v>-625.00000000000057</v>
      </c>
      <c r="H148" s="43">
        <f>C148*D148</f>
        <v>-5000</v>
      </c>
      <c r="I148" s="43">
        <f>C148*F148</f>
        <v>-9375</v>
      </c>
      <c r="J148" s="43"/>
      <c r="K148" s="43"/>
      <c r="L148" s="43"/>
    </row>
    <row r="150" spans="1:12" ht="15" customHeight="1">
      <c r="A150" s="20" t="s">
        <v>3</v>
      </c>
      <c r="B150" s="20" t="s">
        <v>4</v>
      </c>
      <c r="C150" s="21" t="s">
        <v>5</v>
      </c>
      <c r="D150" s="35" t="s">
        <v>6</v>
      </c>
      <c r="E150" s="36" t="s">
        <v>86</v>
      </c>
      <c r="F150" s="37" t="s">
        <v>87</v>
      </c>
      <c r="G150" s="37" t="s">
        <v>88</v>
      </c>
      <c r="H150" s="47" t="s">
        <v>45</v>
      </c>
      <c r="I150" s="37" t="s">
        <v>89</v>
      </c>
      <c r="J150" s="37" t="s">
        <v>90</v>
      </c>
      <c r="K150" s="37" t="s">
        <v>48</v>
      </c>
      <c r="L150" s="37" t="s">
        <v>91</v>
      </c>
    </row>
    <row r="151" spans="1:12" ht="15" customHeight="1">
      <c r="A151" s="100" t="s">
        <v>12</v>
      </c>
      <c r="B151" s="27" t="s">
        <v>8</v>
      </c>
      <c r="C151" s="28">
        <v>400000</v>
      </c>
      <c r="D151" s="27">
        <v>0.15</v>
      </c>
      <c r="E151" s="29">
        <f>D151+0.7</f>
        <v>0.85</v>
      </c>
      <c r="F151" s="40">
        <f>$D151*((1-F$25)/SUM($D$26:$D$28))</f>
        <v>0.16874999999999998</v>
      </c>
      <c r="G151" s="29">
        <f>C151*E151</f>
        <v>340000</v>
      </c>
      <c r="H151" s="29">
        <f>C151*D151</f>
        <v>60000</v>
      </c>
      <c r="I151" s="29">
        <f>C151*F151</f>
        <v>67500</v>
      </c>
      <c r="J151" s="29">
        <f>SUM(G151:G154)</f>
        <v>354029.4117647059</v>
      </c>
      <c r="K151" s="29">
        <f>SUM(H151:H154)</f>
        <v>139500</v>
      </c>
      <c r="L151" s="29">
        <f>SUM(I151:I154)</f>
        <v>145246.32352941178</v>
      </c>
    </row>
    <row r="152" spans="1:12" ht="15" customHeight="1">
      <c r="A152" s="101"/>
      <c r="B152" s="38" t="s">
        <v>9</v>
      </c>
      <c r="C152" s="39">
        <v>150000</v>
      </c>
      <c r="D152" s="38">
        <v>0.5</v>
      </c>
      <c r="E152" s="40">
        <f>$D152*((1-E$151)/SUM($D$152:$D$154))</f>
        <v>8.8235294117647078E-2</v>
      </c>
      <c r="F152" s="40">
        <f>$D152*((1-F$151)/SUM($D$152:$D$154))</f>
        <v>0.48897058823529416</v>
      </c>
      <c r="G152" s="40">
        <f>C152*E152</f>
        <v>13235.294117647061</v>
      </c>
      <c r="H152" s="40">
        <f>C152*D152</f>
        <v>75000</v>
      </c>
      <c r="I152" s="40">
        <f>C152*F152</f>
        <v>73345.588235294126</v>
      </c>
      <c r="J152" s="40"/>
      <c r="K152" s="40"/>
      <c r="L152" s="40"/>
    </row>
    <row r="153" spans="1:12" ht="15" customHeight="1">
      <c r="A153" s="101"/>
      <c r="B153" s="38" t="s">
        <v>10</v>
      </c>
      <c r="C153" s="39">
        <v>50000</v>
      </c>
      <c r="D153" s="38">
        <v>0.25</v>
      </c>
      <c r="E153" s="40">
        <f t="shared" ref="E153:F154" si="28">$D153*((1-E$151)/SUM($D$152:$D$154))</f>
        <v>4.4117647058823539E-2</v>
      </c>
      <c r="F153" s="40">
        <f t="shared" si="28"/>
        <v>0.24448529411764708</v>
      </c>
      <c r="G153" s="40">
        <f>C153*E153</f>
        <v>2205.882352941177</v>
      </c>
      <c r="H153" s="40">
        <f>C153*D153</f>
        <v>12500</v>
      </c>
      <c r="I153" s="40">
        <f>C153*F153</f>
        <v>12224.264705882353</v>
      </c>
      <c r="J153" s="40"/>
      <c r="K153" s="40"/>
      <c r="L153" s="40"/>
    </row>
    <row r="154" spans="1:12" ht="15" customHeight="1">
      <c r="A154" s="104"/>
      <c r="B154" s="41" t="s">
        <v>11</v>
      </c>
      <c r="C154" s="42">
        <v>-80000</v>
      </c>
      <c r="D154" s="41">
        <v>0.1</v>
      </c>
      <c r="E154" s="43">
        <f t="shared" si="28"/>
        <v>1.7647058823529415E-2</v>
      </c>
      <c r="F154" s="43">
        <f t="shared" si="28"/>
        <v>9.7794117647058837E-2</v>
      </c>
      <c r="G154" s="43">
        <f>C154*E154</f>
        <v>-1411.7647058823532</v>
      </c>
      <c r="H154" s="43">
        <f>C154*D154</f>
        <v>-8000</v>
      </c>
      <c r="I154" s="43">
        <f>C154*F154</f>
        <v>-7823.5294117647072</v>
      </c>
      <c r="J154" s="43"/>
      <c r="K154" s="43"/>
      <c r="L154" s="43"/>
    </row>
    <row r="156" spans="1:12" ht="15" customHeight="1">
      <c r="A156" s="20" t="s">
        <v>3</v>
      </c>
      <c r="B156" s="20" t="s">
        <v>4</v>
      </c>
      <c r="C156" s="21" t="s">
        <v>5</v>
      </c>
      <c r="D156" s="35" t="s">
        <v>6</v>
      </c>
      <c r="E156" s="36" t="s">
        <v>86</v>
      </c>
      <c r="F156" s="37" t="s">
        <v>87</v>
      </c>
      <c r="G156" s="37" t="s">
        <v>88</v>
      </c>
      <c r="H156" s="47" t="s">
        <v>45</v>
      </c>
      <c r="I156" s="37" t="s">
        <v>89</v>
      </c>
      <c r="J156" s="37" t="s">
        <v>90</v>
      </c>
      <c r="K156" s="37" t="s">
        <v>48</v>
      </c>
      <c r="L156" s="37" t="s">
        <v>91</v>
      </c>
    </row>
    <row r="157" spans="1:12" ht="15" customHeight="1">
      <c r="A157" s="100" t="s">
        <v>13</v>
      </c>
      <c r="B157" s="27" t="s">
        <v>8</v>
      </c>
      <c r="C157" s="28">
        <v>250000</v>
      </c>
      <c r="D157" s="27">
        <v>0.25</v>
      </c>
      <c r="E157" s="29">
        <f>D157+0.7</f>
        <v>0.95</v>
      </c>
      <c r="F157" s="29">
        <f>D157-0.7</f>
        <v>-0.44999999999999996</v>
      </c>
      <c r="G157" s="29">
        <f>C157*E157</f>
        <v>237500</v>
      </c>
      <c r="H157" s="29">
        <f>C157*D157</f>
        <v>62500</v>
      </c>
      <c r="I157" s="29">
        <f>C157*F157</f>
        <v>-112499.99999999999</v>
      </c>
      <c r="J157" s="29">
        <f>SUM(G157:G160)</f>
        <v>240300</v>
      </c>
      <c r="K157" s="29">
        <f>SUM(H157:H160)</f>
        <v>104500</v>
      </c>
      <c r="L157" s="29">
        <f>SUM(I157:I160)</f>
        <v>-31299.999999999985</v>
      </c>
    </row>
    <row r="158" spans="1:12" ht="15" customHeight="1">
      <c r="A158" s="100"/>
      <c r="B158" s="38" t="s">
        <v>9</v>
      </c>
      <c r="C158" s="39">
        <v>90000</v>
      </c>
      <c r="D158" s="38">
        <v>0.5</v>
      </c>
      <c r="E158" s="40">
        <f>$D158*((1-E$157)/SUM($D$158:$D$160))</f>
        <v>3.3333333333333361E-2</v>
      </c>
      <c r="F158" s="40">
        <f>$D158*((1-F$157)/SUM($D$158:$D$160))</f>
        <v>0.96666666666666667</v>
      </c>
      <c r="G158" s="40">
        <f>C158*E158</f>
        <v>3000.0000000000023</v>
      </c>
      <c r="H158" s="40">
        <f>C158*D158</f>
        <v>45000</v>
      </c>
      <c r="I158" s="40">
        <f>C158*F158</f>
        <v>87000</v>
      </c>
      <c r="J158" s="40"/>
      <c r="K158" s="40"/>
      <c r="L158" s="40"/>
    </row>
    <row r="159" spans="1:12" ht="15" customHeight="1">
      <c r="A159" s="100"/>
      <c r="B159" s="38" t="s">
        <v>10</v>
      </c>
      <c r="C159" s="39">
        <v>20000</v>
      </c>
      <c r="D159" s="38">
        <v>0.15</v>
      </c>
      <c r="E159" s="40">
        <f t="shared" ref="E159:F160" si="29">$D159*((1-E$157)/SUM($D$158:$D$160))</f>
        <v>1.0000000000000007E-2</v>
      </c>
      <c r="F159" s="40">
        <f t="shared" si="29"/>
        <v>0.28999999999999998</v>
      </c>
      <c r="G159" s="40">
        <f>C159*E159</f>
        <v>200.00000000000014</v>
      </c>
      <c r="H159" s="40">
        <f>C159*D159</f>
        <v>3000</v>
      </c>
      <c r="I159" s="40">
        <f>C159*F159</f>
        <v>5800</v>
      </c>
      <c r="J159" s="40"/>
      <c r="K159" s="40"/>
      <c r="L159" s="40"/>
    </row>
    <row r="160" spans="1:12" ht="15" customHeight="1">
      <c r="A160" s="98"/>
      <c r="B160" s="41" t="s">
        <v>11</v>
      </c>
      <c r="C160" s="42">
        <v>-60000</v>
      </c>
      <c r="D160" s="41">
        <v>0.1</v>
      </c>
      <c r="E160" s="43">
        <f t="shared" si="29"/>
        <v>6.6666666666666723E-3</v>
      </c>
      <c r="F160" s="43">
        <f t="shared" si="29"/>
        <v>0.19333333333333336</v>
      </c>
      <c r="G160" s="43">
        <f>C160*E160</f>
        <v>-400.00000000000034</v>
      </c>
      <c r="H160" s="43">
        <f>C160*D160</f>
        <v>-6000</v>
      </c>
      <c r="I160" s="43">
        <f>C160*F160</f>
        <v>-11600.000000000002</v>
      </c>
      <c r="J160" s="43"/>
      <c r="K160" s="43"/>
      <c r="L160" s="43"/>
    </row>
    <row r="163" spans="1:12" ht="15" customHeight="1">
      <c r="A163" s="14" t="s">
        <v>92</v>
      </c>
      <c r="B163" s="54"/>
    </row>
    <row r="164" spans="1:12" ht="15" customHeight="1">
      <c r="A164" s="20" t="s">
        <v>3</v>
      </c>
      <c r="B164" s="20" t="s">
        <v>4</v>
      </c>
      <c r="C164" s="21" t="s">
        <v>5</v>
      </c>
      <c r="D164" s="35" t="s">
        <v>6</v>
      </c>
      <c r="E164" s="36" t="s">
        <v>93</v>
      </c>
      <c r="F164" s="37" t="s">
        <v>94</v>
      </c>
      <c r="G164" s="37" t="s">
        <v>95</v>
      </c>
      <c r="H164" s="47" t="s">
        <v>45</v>
      </c>
      <c r="I164" s="37" t="s">
        <v>96</v>
      </c>
      <c r="J164" s="37" t="s">
        <v>97</v>
      </c>
      <c r="K164" s="37" t="s">
        <v>48</v>
      </c>
      <c r="L164" s="37" t="s">
        <v>98</v>
      </c>
    </row>
    <row r="165" spans="1:12" ht="15" customHeight="1">
      <c r="A165" s="100" t="s">
        <v>7</v>
      </c>
      <c r="B165" s="27" t="s">
        <v>8</v>
      </c>
      <c r="C165" s="28">
        <v>300000</v>
      </c>
      <c r="D165" s="27">
        <v>0.2</v>
      </c>
      <c r="E165" s="29">
        <f>D165+0.8</f>
        <v>1</v>
      </c>
      <c r="F165" s="29">
        <f>D165-0.1</f>
        <v>0.1</v>
      </c>
      <c r="G165" s="29">
        <f>C165*E165</f>
        <v>300000</v>
      </c>
      <c r="H165" s="29">
        <f>C165*D165</f>
        <v>60000</v>
      </c>
      <c r="I165" s="29">
        <f>C165*F165</f>
        <v>30000</v>
      </c>
      <c r="J165" s="29">
        <f>SUM(G165:G168)</f>
        <v>300000</v>
      </c>
      <c r="K165" s="29">
        <f>SUM(H165:H168)</f>
        <v>122500</v>
      </c>
      <c r="L165" s="29">
        <f>SUM(I165:I168)</f>
        <v>100312.5</v>
      </c>
    </row>
    <row r="166" spans="1:12" ht="15" customHeight="1">
      <c r="A166" s="100"/>
      <c r="B166" s="38" t="s">
        <v>9</v>
      </c>
      <c r="C166" s="39">
        <v>120000</v>
      </c>
      <c r="D166" s="38">
        <v>0.5</v>
      </c>
      <c r="E166" s="40">
        <f t="shared" ref="E166:F168" si="30">$D166*((1-E$165)/SUM($D$166:$D$168))</f>
        <v>0</v>
      </c>
      <c r="F166" s="40">
        <f t="shared" si="30"/>
        <v>0.5625</v>
      </c>
      <c r="G166" s="40">
        <f>C166*E166</f>
        <v>0</v>
      </c>
      <c r="H166" s="40">
        <f>C166*D166</f>
        <v>60000</v>
      </c>
      <c r="I166" s="40">
        <f>C166*F166</f>
        <v>67500</v>
      </c>
      <c r="J166" s="40"/>
      <c r="K166" s="40"/>
      <c r="L166" s="40"/>
    </row>
    <row r="167" spans="1:12" ht="15" customHeight="1">
      <c r="A167" s="100"/>
      <c r="B167" s="38" t="s">
        <v>10</v>
      </c>
      <c r="C167" s="39">
        <v>30000</v>
      </c>
      <c r="D167" s="38">
        <v>0.25</v>
      </c>
      <c r="E167" s="40">
        <f t="shared" si="30"/>
        <v>0</v>
      </c>
      <c r="F167" s="40">
        <f t="shared" si="30"/>
        <v>0.28125</v>
      </c>
      <c r="G167" s="40">
        <f>C167*E167</f>
        <v>0</v>
      </c>
      <c r="H167" s="40">
        <f>C167*D167</f>
        <v>7500</v>
      </c>
      <c r="I167" s="40">
        <f>C167*F167</f>
        <v>8437.5</v>
      </c>
      <c r="J167" s="40"/>
      <c r="K167" s="40"/>
      <c r="L167" s="40"/>
    </row>
    <row r="168" spans="1:12" ht="15" customHeight="1">
      <c r="A168" s="98"/>
      <c r="B168" s="41" t="s">
        <v>11</v>
      </c>
      <c r="C168" s="42">
        <v>-100000</v>
      </c>
      <c r="D168" s="41">
        <v>0.05</v>
      </c>
      <c r="E168" s="43">
        <f t="shared" si="30"/>
        <v>0</v>
      </c>
      <c r="F168" s="43">
        <f t="shared" si="30"/>
        <v>5.6250000000000001E-2</v>
      </c>
      <c r="G168" s="43">
        <f>C168*E168</f>
        <v>0</v>
      </c>
      <c r="H168" s="43">
        <f>C168*D168</f>
        <v>-5000</v>
      </c>
      <c r="I168" s="43">
        <f>C168*F168</f>
        <v>-5625</v>
      </c>
      <c r="J168" s="43"/>
      <c r="K168" s="43"/>
      <c r="L168" s="43"/>
    </row>
    <row r="170" spans="1:12" ht="15" customHeight="1">
      <c r="A170" s="20" t="s">
        <v>3</v>
      </c>
      <c r="B170" s="20" t="s">
        <v>4</v>
      </c>
      <c r="C170" s="21" t="s">
        <v>5</v>
      </c>
      <c r="D170" s="35" t="s">
        <v>6</v>
      </c>
      <c r="E170" s="36" t="s">
        <v>93</v>
      </c>
      <c r="F170" s="37" t="s">
        <v>94</v>
      </c>
      <c r="G170" s="37" t="s">
        <v>95</v>
      </c>
      <c r="H170" s="47" t="s">
        <v>45</v>
      </c>
      <c r="I170" s="37" t="s">
        <v>96</v>
      </c>
      <c r="J170" s="37" t="s">
        <v>97</v>
      </c>
      <c r="K170" s="37" t="s">
        <v>48</v>
      </c>
      <c r="L170" s="37" t="s">
        <v>98</v>
      </c>
    </row>
    <row r="171" spans="1:12" ht="15" customHeight="1">
      <c r="A171" s="100" t="s">
        <v>12</v>
      </c>
      <c r="B171" s="27" t="s">
        <v>8</v>
      </c>
      <c r="C171" s="28">
        <v>400000</v>
      </c>
      <c r="D171" s="27">
        <v>0.15</v>
      </c>
      <c r="E171" s="29">
        <f>D171+0.8</f>
        <v>0.95000000000000007</v>
      </c>
      <c r="F171" s="40">
        <f>$D171*((1-F$25)/SUM($D$26:$D$28))</f>
        <v>0.16874999999999998</v>
      </c>
      <c r="G171" s="29">
        <f>C171*E171</f>
        <v>380000</v>
      </c>
      <c r="H171" s="29">
        <f>C171*D171</f>
        <v>60000</v>
      </c>
      <c r="I171" s="29">
        <f>C171*F171</f>
        <v>67500</v>
      </c>
      <c r="J171" s="29">
        <f>SUM(G171:G174)</f>
        <v>384676.4705882353</v>
      </c>
      <c r="K171" s="29">
        <f>SUM(H171:H174)</f>
        <v>139500</v>
      </c>
      <c r="L171" s="29">
        <f>SUM(I171:I174)</f>
        <v>145246.32352941178</v>
      </c>
    </row>
    <row r="172" spans="1:12" ht="15" customHeight="1">
      <c r="A172" s="101"/>
      <c r="B172" s="38" t="s">
        <v>9</v>
      </c>
      <c r="C172" s="39">
        <v>150000</v>
      </c>
      <c r="D172" s="38">
        <v>0.5</v>
      </c>
      <c r="E172" s="40">
        <f t="shared" ref="E172:F174" si="31">$D172*((1-E$171)/SUM($D$172:$D$174))</f>
        <v>2.9411764705882314E-2</v>
      </c>
      <c r="F172" s="40">
        <f t="shared" si="31"/>
        <v>0.48897058823529416</v>
      </c>
      <c r="G172" s="40">
        <f>C172*E172</f>
        <v>4411.7647058823468</v>
      </c>
      <c r="H172" s="40">
        <f>C172*D172</f>
        <v>75000</v>
      </c>
      <c r="I172" s="40">
        <f>C172*F172</f>
        <v>73345.588235294126</v>
      </c>
      <c r="J172" s="40"/>
      <c r="K172" s="40"/>
      <c r="L172" s="40"/>
    </row>
    <row r="173" spans="1:12" ht="15" customHeight="1">
      <c r="A173" s="101"/>
      <c r="B173" s="38" t="s">
        <v>10</v>
      </c>
      <c r="C173" s="39">
        <v>50000</v>
      </c>
      <c r="D173" s="38">
        <v>0.25</v>
      </c>
      <c r="E173" s="40">
        <f t="shared" si="31"/>
        <v>1.4705882352941157E-2</v>
      </c>
      <c r="F173" s="40">
        <f t="shared" si="31"/>
        <v>0.24448529411764708</v>
      </c>
      <c r="G173" s="40">
        <f>C173*E173</f>
        <v>735.29411764705787</v>
      </c>
      <c r="H173" s="40">
        <f>C173*D173</f>
        <v>12500</v>
      </c>
      <c r="I173" s="40">
        <f>C173*F173</f>
        <v>12224.264705882353</v>
      </c>
      <c r="J173" s="40"/>
      <c r="K173" s="40"/>
      <c r="L173" s="40"/>
    </row>
    <row r="174" spans="1:12" ht="15" customHeight="1">
      <c r="A174" s="104"/>
      <c r="B174" s="41" t="s">
        <v>11</v>
      </c>
      <c r="C174" s="42">
        <v>-80000</v>
      </c>
      <c r="D174" s="41">
        <v>0.1</v>
      </c>
      <c r="E174" s="43">
        <f t="shared" si="31"/>
        <v>5.8823529411764636E-3</v>
      </c>
      <c r="F174" s="43">
        <f t="shared" si="31"/>
        <v>9.7794117647058837E-2</v>
      </c>
      <c r="G174" s="43">
        <f>C174*E174</f>
        <v>-470.58823529411711</v>
      </c>
      <c r="H174" s="43">
        <f>C174*D174</f>
        <v>-8000</v>
      </c>
      <c r="I174" s="43">
        <f>C174*F174</f>
        <v>-7823.5294117647072</v>
      </c>
      <c r="J174" s="43"/>
      <c r="K174" s="43"/>
      <c r="L174" s="43"/>
    </row>
    <row r="176" spans="1:12" ht="15" customHeight="1">
      <c r="A176" s="20" t="s">
        <v>3</v>
      </c>
      <c r="B176" s="20" t="s">
        <v>4</v>
      </c>
      <c r="C176" s="21" t="s">
        <v>5</v>
      </c>
      <c r="D176" s="35" t="s">
        <v>6</v>
      </c>
      <c r="E176" s="36" t="s">
        <v>93</v>
      </c>
      <c r="F176" s="37" t="s">
        <v>94</v>
      </c>
      <c r="G176" s="37" t="s">
        <v>95</v>
      </c>
      <c r="H176" s="47" t="s">
        <v>45</v>
      </c>
      <c r="I176" s="37" t="s">
        <v>96</v>
      </c>
      <c r="J176" s="37" t="s">
        <v>97</v>
      </c>
      <c r="K176" s="37" t="s">
        <v>48</v>
      </c>
      <c r="L176" s="37" t="s">
        <v>98</v>
      </c>
    </row>
    <row r="177" spans="1:12" ht="15" customHeight="1">
      <c r="A177" s="100" t="s">
        <v>13</v>
      </c>
      <c r="B177" s="27" t="s">
        <v>8</v>
      </c>
      <c r="C177" s="28">
        <v>250000</v>
      </c>
      <c r="D177" s="27">
        <v>0.25</v>
      </c>
      <c r="E177" s="29">
        <f>D177+0.8</f>
        <v>1.05</v>
      </c>
      <c r="F177" s="29">
        <f>D177-0.1</f>
        <v>0.15</v>
      </c>
      <c r="G177" s="29">
        <f>C177*E177</f>
        <v>262500</v>
      </c>
      <c r="H177" s="29">
        <f>C177*D177</f>
        <v>62500</v>
      </c>
      <c r="I177" s="29">
        <f>C177*F177</f>
        <v>37500</v>
      </c>
      <c r="J177" s="29">
        <f>SUM(G177:G180)</f>
        <v>259700</v>
      </c>
      <c r="K177" s="29">
        <f>SUM(H177:H180)</f>
        <v>104500</v>
      </c>
      <c r="L177" s="29">
        <f>SUM(I177:I180)</f>
        <v>85100</v>
      </c>
    </row>
    <row r="178" spans="1:12" ht="15" customHeight="1">
      <c r="A178" s="100"/>
      <c r="B178" s="38" t="s">
        <v>9</v>
      </c>
      <c r="C178" s="39">
        <v>90000</v>
      </c>
      <c r="D178" s="38">
        <v>0.5</v>
      </c>
      <c r="E178" s="40">
        <f t="shared" ref="E178:F180" si="32">$D178*((1-E$177)/SUM($D$178:$D$180))</f>
        <v>-3.3333333333333361E-2</v>
      </c>
      <c r="F178" s="40">
        <f t="shared" si="32"/>
        <v>0.56666666666666665</v>
      </c>
      <c r="G178" s="40">
        <f>C178*E178</f>
        <v>-3000.0000000000023</v>
      </c>
      <c r="H178" s="40">
        <f>C178*D178</f>
        <v>45000</v>
      </c>
      <c r="I178" s="40">
        <f>C178*F178</f>
        <v>51000</v>
      </c>
      <c r="J178" s="40"/>
      <c r="K178" s="40"/>
      <c r="L178" s="40"/>
    </row>
    <row r="179" spans="1:12" ht="15" customHeight="1">
      <c r="A179" s="100"/>
      <c r="B179" s="38" t="s">
        <v>10</v>
      </c>
      <c r="C179" s="39">
        <v>20000</v>
      </c>
      <c r="D179" s="38">
        <v>0.15</v>
      </c>
      <c r="E179" s="40">
        <f t="shared" si="32"/>
        <v>-1.0000000000000007E-2</v>
      </c>
      <c r="F179" s="40">
        <f t="shared" si="32"/>
        <v>0.16999999999999998</v>
      </c>
      <c r="G179" s="40">
        <f>C179*E179</f>
        <v>-200.00000000000014</v>
      </c>
      <c r="H179" s="40">
        <f>C179*D179</f>
        <v>3000</v>
      </c>
      <c r="I179" s="40">
        <f>C179*F179</f>
        <v>3399.9999999999995</v>
      </c>
      <c r="J179" s="40"/>
      <c r="K179" s="40"/>
      <c r="L179" s="40"/>
    </row>
    <row r="180" spans="1:12" ht="15" customHeight="1">
      <c r="A180" s="98"/>
      <c r="B180" s="41" t="s">
        <v>11</v>
      </c>
      <c r="C180" s="42">
        <v>-60000</v>
      </c>
      <c r="D180" s="41">
        <v>0.1</v>
      </c>
      <c r="E180" s="43">
        <f t="shared" si="32"/>
        <v>-6.6666666666666723E-3</v>
      </c>
      <c r="F180" s="43">
        <f t="shared" si="32"/>
        <v>0.11333333333333334</v>
      </c>
      <c r="G180" s="43">
        <f>C180*E180</f>
        <v>400.00000000000034</v>
      </c>
      <c r="H180" s="43">
        <f>C180*D180</f>
        <v>-6000</v>
      </c>
      <c r="I180" s="43">
        <f>C180*F180</f>
        <v>-6800.0000000000009</v>
      </c>
      <c r="J180" s="43"/>
      <c r="K180" s="43"/>
      <c r="L180" s="43"/>
    </row>
    <row r="183" spans="1:12" ht="15" customHeight="1">
      <c r="A183" s="14" t="s">
        <v>99</v>
      </c>
      <c r="B183" s="54"/>
    </row>
    <row r="184" spans="1:12" ht="15" customHeight="1">
      <c r="A184" s="20" t="s">
        <v>3</v>
      </c>
      <c r="B184" s="20" t="s">
        <v>4</v>
      </c>
      <c r="C184" s="21" t="s">
        <v>5</v>
      </c>
      <c r="D184" s="35" t="s">
        <v>6</v>
      </c>
      <c r="E184" s="36" t="s">
        <v>100</v>
      </c>
      <c r="F184" s="37" t="s">
        <v>101</v>
      </c>
      <c r="G184" s="37" t="s">
        <v>102</v>
      </c>
      <c r="H184" s="47" t="s">
        <v>45</v>
      </c>
      <c r="I184" s="37" t="s">
        <v>103</v>
      </c>
      <c r="J184" s="37" t="s">
        <v>104</v>
      </c>
      <c r="K184" s="37" t="s">
        <v>48</v>
      </c>
      <c r="L184" s="37" t="s">
        <v>105</v>
      </c>
    </row>
    <row r="185" spans="1:12" ht="15" customHeight="1">
      <c r="A185" s="100" t="s">
        <v>7</v>
      </c>
      <c r="B185" s="27" t="s">
        <v>8</v>
      </c>
      <c r="C185" s="28">
        <v>300000</v>
      </c>
      <c r="D185" s="27">
        <v>0.2</v>
      </c>
      <c r="E185" s="29">
        <f>D185+0.9</f>
        <v>1.1000000000000001</v>
      </c>
      <c r="F185" s="29">
        <f>D185-0.9</f>
        <v>-0.7</v>
      </c>
      <c r="G185" s="29">
        <f>C185*E185</f>
        <v>330000</v>
      </c>
      <c r="H185" s="29">
        <f>C185*D185</f>
        <v>60000</v>
      </c>
      <c r="I185" s="29">
        <f>C185*F185</f>
        <v>-210000</v>
      </c>
      <c r="J185" s="29">
        <f>SUM(G185:G188)</f>
        <v>322187.5</v>
      </c>
      <c r="K185" s="29">
        <f>SUM(H185:H188)</f>
        <v>122500</v>
      </c>
      <c r="L185" s="29">
        <f>SUM(I185:I188)</f>
        <v>-77187.5</v>
      </c>
    </row>
    <row r="186" spans="1:12" ht="15" customHeight="1">
      <c r="A186" s="100"/>
      <c r="B186" s="38" t="s">
        <v>9</v>
      </c>
      <c r="C186" s="39">
        <v>120000</v>
      </c>
      <c r="D186" s="38">
        <v>0.5</v>
      </c>
      <c r="E186" s="40">
        <f t="shared" ref="E186:F188" si="33">$D186*((1-E$185)/SUM($D$186:$D$188))</f>
        <v>-6.2500000000000056E-2</v>
      </c>
      <c r="F186" s="40">
        <f t="shared" si="33"/>
        <v>1.0625</v>
      </c>
      <c r="G186" s="40">
        <f>C186*E186</f>
        <v>-7500.0000000000064</v>
      </c>
      <c r="H186" s="40">
        <f>C186*D186</f>
        <v>60000</v>
      </c>
      <c r="I186" s="40">
        <f>C186*F186</f>
        <v>127500</v>
      </c>
      <c r="J186" s="40"/>
      <c r="K186" s="40"/>
      <c r="L186" s="40"/>
    </row>
    <row r="187" spans="1:12" ht="15" customHeight="1">
      <c r="A187" s="100"/>
      <c r="B187" s="38" t="s">
        <v>10</v>
      </c>
      <c r="C187" s="39">
        <v>30000</v>
      </c>
      <c r="D187" s="38">
        <v>0.25</v>
      </c>
      <c r="E187" s="40">
        <f t="shared" si="33"/>
        <v>-3.1250000000000028E-2</v>
      </c>
      <c r="F187" s="40">
        <f t="shared" si="33"/>
        <v>0.53125</v>
      </c>
      <c r="G187" s="40">
        <f>C187*E187</f>
        <v>-937.5000000000008</v>
      </c>
      <c r="H187" s="40">
        <f>C187*D187</f>
        <v>7500</v>
      </c>
      <c r="I187" s="40">
        <f>C187*F187</f>
        <v>15937.5</v>
      </c>
      <c r="J187" s="40"/>
      <c r="K187" s="40"/>
      <c r="L187" s="40"/>
    </row>
    <row r="188" spans="1:12" ht="15" customHeight="1">
      <c r="A188" s="98"/>
      <c r="B188" s="41" t="s">
        <v>11</v>
      </c>
      <c r="C188" s="42">
        <v>-100000</v>
      </c>
      <c r="D188" s="41">
        <v>0.05</v>
      </c>
      <c r="E188" s="43">
        <f t="shared" si="33"/>
        <v>-6.2500000000000056E-3</v>
      </c>
      <c r="F188" s="43">
        <f t="shared" si="33"/>
        <v>0.10625000000000001</v>
      </c>
      <c r="G188" s="43">
        <f>C188*E188</f>
        <v>625.00000000000057</v>
      </c>
      <c r="H188" s="43">
        <f>C188*D188</f>
        <v>-5000</v>
      </c>
      <c r="I188" s="43">
        <f>C188*F188</f>
        <v>-10625.000000000002</v>
      </c>
      <c r="J188" s="43"/>
      <c r="K188" s="43"/>
      <c r="L188" s="43"/>
    </row>
    <row r="190" spans="1:12" ht="15" customHeight="1">
      <c r="A190" s="20" t="s">
        <v>3</v>
      </c>
      <c r="B190" s="20" t="s">
        <v>4</v>
      </c>
      <c r="C190" s="21" t="s">
        <v>5</v>
      </c>
      <c r="D190" s="35" t="s">
        <v>6</v>
      </c>
      <c r="E190" s="36" t="s">
        <v>100</v>
      </c>
      <c r="F190" s="37" t="s">
        <v>101</v>
      </c>
      <c r="G190" s="37" t="s">
        <v>102</v>
      </c>
      <c r="H190" s="47" t="s">
        <v>45</v>
      </c>
      <c r="I190" s="37" t="s">
        <v>103</v>
      </c>
      <c r="J190" s="37" t="s">
        <v>104</v>
      </c>
      <c r="K190" s="37" t="s">
        <v>48</v>
      </c>
      <c r="L190" s="37" t="s">
        <v>105</v>
      </c>
    </row>
    <row r="191" spans="1:12" ht="15" customHeight="1">
      <c r="A191" s="100" t="s">
        <v>12</v>
      </c>
      <c r="B191" s="27" t="s">
        <v>8</v>
      </c>
      <c r="C191" s="28">
        <v>400000</v>
      </c>
      <c r="D191" s="27">
        <v>0.15</v>
      </c>
      <c r="E191" s="29">
        <f>D191+0.9</f>
        <v>1.05</v>
      </c>
      <c r="F191" s="40">
        <f>D191-0.9</f>
        <v>-0.75</v>
      </c>
      <c r="G191" s="29">
        <f>C191*E191</f>
        <v>420000</v>
      </c>
      <c r="H191" s="29">
        <f>C191*D191</f>
        <v>60000</v>
      </c>
      <c r="I191" s="29">
        <f>C191*F191</f>
        <v>-300000</v>
      </c>
      <c r="J191" s="29">
        <f>SUM(G191:G194)</f>
        <v>415323.5294117647</v>
      </c>
      <c r="K191" s="29">
        <f>SUM(H191:H194)</f>
        <v>139500</v>
      </c>
      <c r="L191" s="29">
        <f>SUM(I191:I194)</f>
        <v>-136323.52941176467</v>
      </c>
    </row>
    <row r="192" spans="1:12" ht="15" customHeight="1">
      <c r="A192" s="101"/>
      <c r="B192" s="38" t="s">
        <v>9</v>
      </c>
      <c r="C192" s="39">
        <v>150000</v>
      </c>
      <c r="D192" s="38">
        <v>0.5</v>
      </c>
      <c r="E192" s="40">
        <f t="shared" ref="E192:F194" si="34">$D192*((1-E$191)/SUM($D$192:$D$194))</f>
        <v>-2.941176470588238E-2</v>
      </c>
      <c r="F192" s="40">
        <f t="shared" si="34"/>
        <v>1.0294117647058825</v>
      </c>
      <c r="G192" s="40">
        <f>C192*E192</f>
        <v>-4411.7647058823568</v>
      </c>
      <c r="H192" s="40">
        <f>C192*D192</f>
        <v>75000</v>
      </c>
      <c r="I192" s="40">
        <f>C192*F192</f>
        <v>154411.76470588238</v>
      </c>
      <c r="J192" s="40"/>
      <c r="K192" s="40"/>
      <c r="L192" s="40"/>
    </row>
    <row r="193" spans="1:12" ht="15" customHeight="1">
      <c r="A193" s="101"/>
      <c r="B193" s="38" t="s">
        <v>10</v>
      </c>
      <c r="C193" s="39">
        <v>50000</v>
      </c>
      <c r="D193" s="38">
        <v>0.25</v>
      </c>
      <c r="E193" s="40">
        <f t="shared" si="34"/>
        <v>-1.470588235294119E-2</v>
      </c>
      <c r="F193" s="40">
        <f t="shared" si="34"/>
        <v>0.51470588235294124</v>
      </c>
      <c r="G193" s="40">
        <f>C193*E193</f>
        <v>-735.29411764705947</v>
      </c>
      <c r="H193" s="40">
        <f>C193*D193</f>
        <v>12500</v>
      </c>
      <c r="I193" s="40">
        <f>C193*F193</f>
        <v>25735.294117647063</v>
      </c>
      <c r="J193" s="40"/>
      <c r="K193" s="40"/>
      <c r="L193" s="40"/>
    </row>
    <row r="194" spans="1:12" ht="15" customHeight="1">
      <c r="A194" s="104"/>
      <c r="B194" s="41" t="s">
        <v>11</v>
      </c>
      <c r="C194" s="42">
        <v>-80000</v>
      </c>
      <c r="D194" s="41">
        <v>0.1</v>
      </c>
      <c r="E194" s="43">
        <f t="shared" si="34"/>
        <v>-5.8823529411764766E-3</v>
      </c>
      <c r="F194" s="43">
        <f t="shared" si="34"/>
        <v>0.20588235294117652</v>
      </c>
      <c r="G194" s="43">
        <f>C194*E194</f>
        <v>470.58823529411814</v>
      </c>
      <c r="H194" s="43">
        <f>C194*D194</f>
        <v>-8000</v>
      </c>
      <c r="I194" s="43">
        <f>C194*F194</f>
        <v>-16470.588235294123</v>
      </c>
      <c r="J194" s="43"/>
      <c r="K194" s="43"/>
      <c r="L194" s="43"/>
    </row>
    <row r="196" spans="1:12" ht="15" customHeight="1">
      <c r="A196" s="20" t="s">
        <v>3</v>
      </c>
      <c r="B196" s="20" t="s">
        <v>4</v>
      </c>
      <c r="C196" s="21" t="s">
        <v>5</v>
      </c>
      <c r="D196" s="35" t="s">
        <v>6</v>
      </c>
      <c r="E196" s="36" t="s">
        <v>100</v>
      </c>
      <c r="F196" s="37" t="s">
        <v>101</v>
      </c>
      <c r="G196" s="37" t="s">
        <v>102</v>
      </c>
      <c r="H196" s="47" t="s">
        <v>45</v>
      </c>
      <c r="I196" s="37" t="s">
        <v>103</v>
      </c>
      <c r="J196" s="37" t="s">
        <v>104</v>
      </c>
      <c r="K196" s="37" t="s">
        <v>48</v>
      </c>
      <c r="L196" s="37" t="s">
        <v>105</v>
      </c>
    </row>
    <row r="197" spans="1:12" ht="15" customHeight="1">
      <c r="A197" s="100" t="s">
        <v>13</v>
      </c>
      <c r="B197" s="27" t="s">
        <v>8</v>
      </c>
      <c r="C197" s="28">
        <v>250000</v>
      </c>
      <c r="D197" s="27">
        <v>0.25</v>
      </c>
      <c r="E197" s="29">
        <f>D197+0.9</f>
        <v>1.1499999999999999</v>
      </c>
      <c r="F197" s="29">
        <f>D197-0.9</f>
        <v>-0.65</v>
      </c>
      <c r="G197" s="29">
        <f>C197*E197</f>
        <v>287500</v>
      </c>
      <c r="H197" s="29">
        <f>C197*D197</f>
        <v>62500</v>
      </c>
      <c r="I197" s="29">
        <f>C197*F197</f>
        <v>-162500</v>
      </c>
      <c r="J197" s="29">
        <f>SUM(G197:G200)</f>
        <v>279100</v>
      </c>
      <c r="K197" s="29">
        <f>SUM(H197:H200)</f>
        <v>104500</v>
      </c>
      <c r="L197" s="29">
        <f>SUM(I197:I200)</f>
        <v>-70100.000000000015</v>
      </c>
    </row>
    <row r="198" spans="1:12" ht="15" customHeight="1">
      <c r="A198" s="100"/>
      <c r="B198" s="38" t="s">
        <v>9</v>
      </c>
      <c r="C198" s="39">
        <v>90000</v>
      </c>
      <c r="D198" s="38">
        <v>0.5</v>
      </c>
      <c r="E198" s="40">
        <f t="shared" ref="E198:F200" si="35">$D198*((1-E$197)/SUM($D$198:$D$200))</f>
        <v>-9.9999999999999936E-2</v>
      </c>
      <c r="F198" s="40">
        <f t="shared" si="35"/>
        <v>1.0999999999999999</v>
      </c>
      <c r="G198" s="40">
        <f>C198*E198</f>
        <v>-8999.9999999999945</v>
      </c>
      <c r="H198" s="40">
        <f>C198*D198</f>
        <v>45000</v>
      </c>
      <c r="I198" s="40">
        <f>C198*F198</f>
        <v>98999.999999999985</v>
      </c>
      <c r="J198" s="40"/>
      <c r="K198" s="40"/>
      <c r="L198" s="40"/>
    </row>
    <row r="199" spans="1:12" ht="15" customHeight="1">
      <c r="A199" s="100"/>
      <c r="B199" s="38" t="s">
        <v>10</v>
      </c>
      <c r="C199" s="39">
        <v>20000</v>
      </c>
      <c r="D199" s="38">
        <v>0.15</v>
      </c>
      <c r="E199" s="40">
        <f t="shared" si="35"/>
        <v>-2.9999999999999978E-2</v>
      </c>
      <c r="F199" s="40">
        <f t="shared" si="35"/>
        <v>0.32999999999999996</v>
      </c>
      <c r="G199" s="40">
        <f>C199*E199</f>
        <v>-599.99999999999955</v>
      </c>
      <c r="H199" s="40">
        <f>C199*D199</f>
        <v>3000</v>
      </c>
      <c r="I199" s="40">
        <f>C199*F199</f>
        <v>6599.9999999999991</v>
      </c>
      <c r="J199" s="40"/>
      <c r="K199" s="40"/>
      <c r="L199" s="40"/>
    </row>
    <row r="200" spans="1:12" ht="15" customHeight="1">
      <c r="A200" s="98"/>
      <c r="B200" s="41" t="s">
        <v>11</v>
      </c>
      <c r="C200" s="60">
        <v>-60000</v>
      </c>
      <c r="D200" s="41">
        <v>0.1</v>
      </c>
      <c r="E200" s="43">
        <f t="shared" si="35"/>
        <v>-1.999999999999999E-2</v>
      </c>
      <c r="F200" s="43">
        <f t="shared" si="35"/>
        <v>0.21999999999999997</v>
      </c>
      <c r="G200" s="43">
        <f>C200*E200</f>
        <v>1199.9999999999993</v>
      </c>
      <c r="H200" s="43">
        <f>C200*D200</f>
        <v>-6000</v>
      </c>
      <c r="I200" s="43">
        <f>C200*F200</f>
        <v>-13199.999999999998</v>
      </c>
      <c r="J200" s="43"/>
      <c r="K200" s="43"/>
      <c r="L200" s="43"/>
    </row>
    <row r="203" spans="1:12" ht="15" customHeight="1" thickBot="1"/>
    <row r="204" spans="1:12" ht="15" customHeight="1" thickBot="1">
      <c r="B204" s="107" t="s">
        <v>106</v>
      </c>
      <c r="C204" s="108"/>
      <c r="D204" s="109"/>
    </row>
    <row r="205" spans="1:12" ht="15" customHeight="1">
      <c r="B205" s="57" t="s">
        <v>6</v>
      </c>
      <c r="C205" t="s">
        <v>107</v>
      </c>
      <c r="D205" s="58" t="s">
        <v>108</v>
      </c>
    </row>
    <row r="206" spans="1:12" ht="15" customHeight="1">
      <c r="B206" s="55">
        <v>10</v>
      </c>
      <c r="C206" s="55">
        <f>Final!$J$25</f>
        <v>144687.5</v>
      </c>
      <c r="D206" s="55">
        <f>Final!$L$25</f>
        <v>100312.5</v>
      </c>
    </row>
    <row r="207" spans="1:12" ht="15" customHeight="1">
      <c r="B207" s="55">
        <v>20</v>
      </c>
      <c r="C207" s="55">
        <f>$J$45</f>
        <v>166875</v>
      </c>
      <c r="D207" s="55">
        <f>$L$45</f>
        <v>78125</v>
      </c>
    </row>
    <row r="208" spans="1:12" ht="15" customHeight="1">
      <c r="B208" s="55">
        <v>30</v>
      </c>
      <c r="C208" s="55">
        <v>189062.5</v>
      </c>
      <c r="D208" s="55">
        <v>55937.5</v>
      </c>
    </row>
    <row r="209" spans="2:4" ht="15" customHeight="1">
      <c r="B209" s="55">
        <v>40</v>
      </c>
      <c r="C209" s="55">
        <v>211250</v>
      </c>
      <c r="D209" s="55">
        <v>33750</v>
      </c>
    </row>
    <row r="210" spans="2:4" ht="15" customHeight="1">
      <c r="B210" s="55">
        <v>50</v>
      </c>
      <c r="C210" s="55">
        <v>233437.5</v>
      </c>
      <c r="D210" s="55">
        <v>11562.5</v>
      </c>
    </row>
    <row r="211" spans="2:4" ht="15" customHeight="1">
      <c r="B211" s="55">
        <v>60</v>
      </c>
      <c r="C211" s="55">
        <f>Final!$J$125</f>
        <v>255625</v>
      </c>
      <c r="D211" s="29">
        <f>Final!$L$125</f>
        <v>-10625.000000000002</v>
      </c>
    </row>
    <row r="212" spans="2:4" ht="15" customHeight="1">
      <c r="B212" s="55">
        <v>70</v>
      </c>
      <c r="C212" s="69">
        <f>Final!$J$145</f>
        <v>277812.5</v>
      </c>
      <c r="D212" s="55">
        <f>Final!$L$145</f>
        <v>-32812.499999999971</v>
      </c>
    </row>
    <row r="213" spans="2:4" ht="15" customHeight="1">
      <c r="B213" s="55">
        <v>80</v>
      </c>
      <c r="C213" s="15">
        <v>300000</v>
      </c>
      <c r="D213" s="55">
        <v>-55000</v>
      </c>
    </row>
    <row r="214" spans="2:4" ht="15" customHeight="1">
      <c r="B214" s="55">
        <v>90</v>
      </c>
      <c r="C214" s="69">
        <v>322187.5</v>
      </c>
      <c r="D214" s="55">
        <f>Final!$L$185</f>
        <v>-77187.5</v>
      </c>
    </row>
    <row r="217" spans="2:4" ht="15" customHeight="1">
      <c r="B217" s="110" t="s">
        <v>109</v>
      </c>
      <c r="C217" s="111"/>
      <c r="D217" s="111"/>
    </row>
    <row r="218" spans="2:4" ht="15" customHeight="1">
      <c r="B218" s="55" t="s">
        <v>6</v>
      </c>
      <c r="C218" s="55" t="s">
        <v>107</v>
      </c>
      <c r="D218" s="55" t="s">
        <v>108</v>
      </c>
    </row>
    <row r="219" spans="2:4" ht="15" customHeight="1">
      <c r="B219" s="55">
        <v>10</v>
      </c>
      <c r="C219" s="55">
        <f>Final!$J$31</f>
        <v>170147.0588235294</v>
      </c>
      <c r="D219" s="55">
        <f>Final!$L$31</f>
        <v>108852.94117647059</v>
      </c>
    </row>
    <row r="220" spans="2:4" ht="15" customHeight="1">
      <c r="B220" s="55">
        <v>20</v>
      </c>
      <c r="C220" s="59">
        <f>$J$51</f>
        <v>200794.11764705885</v>
      </c>
      <c r="D220" s="55">
        <v>108852.94</v>
      </c>
    </row>
    <row r="221" spans="2:4" ht="15" customHeight="1">
      <c r="B221" s="55">
        <v>30</v>
      </c>
      <c r="C221" s="55">
        <v>231441.17</v>
      </c>
      <c r="D221" s="55">
        <v>47558.8</v>
      </c>
    </row>
    <row r="222" spans="2:4" ht="15" customHeight="1">
      <c r="B222" s="55">
        <v>40</v>
      </c>
      <c r="C222" s="55">
        <v>262088.23</v>
      </c>
      <c r="D222" s="55">
        <v>16911.759999999998</v>
      </c>
    </row>
    <row r="223" spans="2:4" ht="15" customHeight="1">
      <c r="B223" s="55">
        <v>50</v>
      </c>
      <c r="C223" s="55">
        <v>292735.28999999998</v>
      </c>
      <c r="D223" s="55">
        <v>-13735.29</v>
      </c>
    </row>
    <row r="224" spans="2:4" ht="15" customHeight="1">
      <c r="B224" s="55">
        <v>60</v>
      </c>
      <c r="C224" s="55">
        <f>Final!$J$131</f>
        <v>323382.35294117645</v>
      </c>
      <c r="D224" s="55">
        <f>Final!$L$125</f>
        <v>-10625.000000000002</v>
      </c>
    </row>
    <row r="225" spans="2:4" ht="15" customHeight="1">
      <c r="B225" s="55">
        <v>70</v>
      </c>
      <c r="C225" s="55">
        <v>354029.41</v>
      </c>
      <c r="D225" s="55">
        <v>-75029.410999999993</v>
      </c>
    </row>
    <row r="226" spans="2:4" ht="15" customHeight="1">
      <c r="B226" s="55">
        <v>80</v>
      </c>
      <c r="C226" s="55">
        <v>384676.47</v>
      </c>
      <c r="D226" s="55">
        <v>-105676.47</v>
      </c>
    </row>
    <row r="227" spans="2:4" ht="15" customHeight="1">
      <c r="B227" s="55">
        <v>90</v>
      </c>
      <c r="C227" s="55">
        <v>415323.53</v>
      </c>
      <c r="D227" s="55">
        <f>Final!$L$191</f>
        <v>-136323.52941176467</v>
      </c>
    </row>
    <row r="230" spans="2:4" ht="15" customHeight="1">
      <c r="B230" s="110" t="s">
        <v>110</v>
      </c>
      <c r="C230" s="111"/>
      <c r="D230" s="111"/>
    </row>
    <row r="231" spans="2:4" ht="15" customHeight="1">
      <c r="B231" s="55" t="s">
        <v>6</v>
      </c>
      <c r="C231" s="55" t="s">
        <v>107</v>
      </c>
      <c r="D231" s="55" t="s">
        <v>108</v>
      </c>
    </row>
    <row r="232" spans="2:4" ht="15" customHeight="1">
      <c r="B232" s="55">
        <v>10</v>
      </c>
      <c r="C232" s="55">
        <v>123900</v>
      </c>
      <c r="D232" s="55">
        <v>85100</v>
      </c>
    </row>
    <row r="233" spans="2:4" ht="15" customHeight="1">
      <c r="B233" s="55">
        <v>20</v>
      </c>
      <c r="C233" s="59">
        <f>Final!$J$57</f>
        <v>143300</v>
      </c>
      <c r="D233" s="59">
        <v>55937.5</v>
      </c>
    </row>
    <row r="234" spans="2:4" ht="15" customHeight="1">
      <c r="B234" s="55">
        <v>30</v>
      </c>
      <c r="C234" s="55">
        <v>162700</v>
      </c>
      <c r="D234" s="55">
        <v>46300</v>
      </c>
    </row>
    <row r="235" spans="2:4" ht="15" customHeight="1">
      <c r="B235" s="55">
        <v>40</v>
      </c>
      <c r="C235" s="55">
        <v>182100</v>
      </c>
      <c r="D235" s="55">
        <v>26900</v>
      </c>
    </row>
    <row r="236" spans="2:4" ht="15" customHeight="1">
      <c r="B236" s="55">
        <v>50</v>
      </c>
      <c r="C236" s="55">
        <v>201500</v>
      </c>
      <c r="D236" s="55">
        <v>7500</v>
      </c>
    </row>
    <row r="237" spans="2:4" ht="15" customHeight="1">
      <c r="B237" s="55">
        <v>60</v>
      </c>
      <c r="C237" s="55">
        <f>Final!$J$137</f>
        <v>220900</v>
      </c>
      <c r="D237" s="55">
        <f>Final!$L$137</f>
        <v>-11900.000000000002</v>
      </c>
    </row>
    <row r="238" spans="2:4" ht="15" customHeight="1">
      <c r="B238" s="55">
        <v>70</v>
      </c>
      <c r="C238" s="55">
        <f>Final!$J$157</f>
        <v>240300</v>
      </c>
      <c r="D238" s="55">
        <f>Final!$L$157</f>
        <v>-31299.999999999985</v>
      </c>
    </row>
    <row r="239" spans="2:4" ht="15" customHeight="1">
      <c r="B239" s="55">
        <v>80</v>
      </c>
      <c r="C239" s="55">
        <v>259700</v>
      </c>
      <c r="D239" s="55">
        <v>-50700</v>
      </c>
    </row>
    <row r="240" spans="2:4" ht="15" customHeight="1">
      <c r="B240" s="55">
        <v>90</v>
      </c>
      <c r="C240" s="55">
        <f>J197</f>
        <v>279100</v>
      </c>
      <c r="D240" s="55">
        <f>Final!$L$197</f>
        <v>-70100.000000000015</v>
      </c>
    </row>
    <row r="248" spans="2:8" ht="15" customHeight="1">
      <c r="B248" s="16"/>
      <c r="C248" s="16"/>
      <c r="D248" s="16"/>
      <c r="E248" s="16"/>
      <c r="F248" s="16"/>
      <c r="G248" s="16"/>
      <c r="H248" s="16"/>
    </row>
    <row r="249" spans="2:8" ht="15" customHeight="1">
      <c r="B249" s="105"/>
      <c r="C249" s="7"/>
      <c r="D249" s="8"/>
      <c r="E249" s="7"/>
      <c r="F249" s="7"/>
      <c r="G249" s="7"/>
    </row>
    <row r="250" spans="2:8" ht="15" customHeight="1">
      <c r="B250" s="106"/>
      <c r="C250" s="7"/>
      <c r="D250" s="8"/>
      <c r="E250" s="7"/>
    </row>
    <row r="251" spans="2:8" ht="15" customHeight="1">
      <c r="B251" s="106"/>
      <c r="C251" s="7"/>
      <c r="D251" s="8"/>
      <c r="E251" s="7"/>
    </row>
    <row r="252" spans="2:8" ht="15" customHeight="1">
      <c r="B252" s="106"/>
      <c r="C252" s="7"/>
      <c r="D252" s="8"/>
      <c r="E252" s="7"/>
    </row>
    <row r="253" spans="2:8" ht="15" customHeight="1">
      <c r="B253" s="105"/>
      <c r="C253" s="7"/>
      <c r="D253" s="8"/>
      <c r="E253" s="7"/>
      <c r="F253" s="7"/>
      <c r="G253" s="7"/>
    </row>
    <row r="254" spans="2:8" ht="15" customHeight="1">
      <c r="B254" s="106"/>
      <c r="C254" s="7"/>
      <c r="D254" s="8"/>
      <c r="E254" s="7"/>
    </row>
    <row r="255" spans="2:8" ht="15" customHeight="1">
      <c r="B255" s="106"/>
      <c r="C255" s="7"/>
      <c r="D255" s="8"/>
      <c r="E255" s="7"/>
    </row>
    <row r="256" spans="2:8" ht="15" customHeight="1">
      <c r="B256" s="106"/>
      <c r="C256" s="7"/>
      <c r="D256" s="8"/>
      <c r="E256" s="7"/>
    </row>
    <row r="257" spans="2:5" ht="15" customHeight="1">
      <c r="B257" s="105"/>
      <c r="C257" s="7"/>
      <c r="D257" s="8"/>
      <c r="E257" s="7"/>
    </row>
    <row r="258" spans="2:5" ht="15" customHeight="1">
      <c r="B258" s="106"/>
      <c r="C258" s="7"/>
      <c r="D258" s="8"/>
      <c r="E258" s="7"/>
    </row>
    <row r="259" spans="2:5" ht="15" customHeight="1">
      <c r="B259" s="106"/>
      <c r="C259" s="7"/>
      <c r="D259" s="8"/>
      <c r="E259" s="7"/>
    </row>
    <row r="260" spans="2:5" ht="15" customHeight="1">
      <c r="B260" s="106"/>
      <c r="C260" s="7"/>
      <c r="D260" s="8"/>
      <c r="E260" s="7"/>
    </row>
  </sheetData>
  <mergeCells count="48">
    <mergeCell ref="B257:B260"/>
    <mergeCell ref="B204:D204"/>
    <mergeCell ref="B217:D217"/>
    <mergeCell ref="B230:D230"/>
    <mergeCell ref="B249:B252"/>
    <mergeCell ref="B253:B256"/>
    <mergeCell ref="A171:A174"/>
    <mergeCell ref="A177:A180"/>
    <mergeCell ref="A185:A188"/>
    <mergeCell ref="A191:A194"/>
    <mergeCell ref="A197:A200"/>
    <mergeCell ref="A137:A140"/>
    <mergeCell ref="A145:A148"/>
    <mergeCell ref="A151:A154"/>
    <mergeCell ref="A157:A160"/>
    <mergeCell ref="A165:A168"/>
    <mergeCell ref="A105:A108"/>
    <mergeCell ref="A111:A114"/>
    <mergeCell ref="A117:A120"/>
    <mergeCell ref="A125:A128"/>
    <mergeCell ref="A131:A134"/>
    <mergeCell ref="A71:A74"/>
    <mergeCell ref="A77:A80"/>
    <mergeCell ref="A85:A88"/>
    <mergeCell ref="A91:A94"/>
    <mergeCell ref="A97:A100"/>
    <mergeCell ref="A45:A48"/>
    <mergeCell ref="A51:A54"/>
    <mergeCell ref="A57:A60"/>
    <mergeCell ref="A65:A68"/>
    <mergeCell ref="A25:A28"/>
    <mergeCell ref="A31:A34"/>
    <mergeCell ref="A37:A40"/>
    <mergeCell ref="J4:J7"/>
    <mergeCell ref="J10:J13"/>
    <mergeCell ref="J16:J19"/>
    <mergeCell ref="H4:H7"/>
    <mergeCell ref="I4:I7"/>
    <mergeCell ref="H10:H13"/>
    <mergeCell ref="I10:I13"/>
    <mergeCell ref="H16:H19"/>
    <mergeCell ref="I16:I19"/>
    <mergeCell ref="A4:A7"/>
    <mergeCell ref="A10:A13"/>
    <mergeCell ref="A16:A19"/>
    <mergeCell ref="F16:F19"/>
    <mergeCell ref="F10:F13"/>
    <mergeCell ref="F4:F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5DAA-584E-4ABB-8AD3-E3B84022FEC0}">
  <dimension ref="A1:G70"/>
  <sheetViews>
    <sheetView zoomScale="109" workbookViewId="0">
      <selection activeCell="A41" sqref="A41"/>
    </sheetView>
  </sheetViews>
  <sheetFormatPr defaultColWidth="8.86328125" defaultRowHeight="14.25"/>
  <cols>
    <col min="1" max="1" width="130.73046875" style="26" customWidth="1"/>
    <col min="2" max="2" width="24.3984375" customWidth="1"/>
    <col min="3" max="3" width="24.73046875" bestFit="1" customWidth="1"/>
    <col min="4" max="4" width="18.73046875" bestFit="1" customWidth="1"/>
    <col min="5" max="5" width="72" customWidth="1"/>
    <col min="6" max="6" width="13" bestFit="1" customWidth="1"/>
  </cols>
  <sheetData>
    <row r="1" spans="1:2" ht="18">
      <c r="A1" s="75" t="s">
        <v>111</v>
      </c>
    </row>
    <row r="2" spans="1:2" ht="18">
      <c r="A2" s="74"/>
    </row>
    <row r="3" spans="1:2">
      <c r="A3" s="70" t="s">
        <v>20</v>
      </c>
      <c r="B3" s="14"/>
    </row>
    <row r="4" spans="1:2">
      <c r="A4" s="70" t="s">
        <v>21</v>
      </c>
      <c r="B4" s="14"/>
    </row>
    <row r="5" spans="1:2" ht="85.5">
      <c r="A5" s="76" t="s">
        <v>112</v>
      </c>
      <c r="B5" s="14"/>
    </row>
    <row r="6" spans="1:2">
      <c r="A6" s="51"/>
      <c r="B6" s="14"/>
    </row>
    <row r="7" spans="1:2">
      <c r="A7" s="49"/>
      <c r="B7" s="14"/>
    </row>
    <row r="8" spans="1:2">
      <c r="A8" s="70" t="s">
        <v>22</v>
      </c>
      <c r="B8" s="14"/>
    </row>
    <row r="9" spans="1:2" ht="12.75" customHeight="1">
      <c r="A9" s="59" t="s">
        <v>113</v>
      </c>
      <c r="B9" s="15"/>
    </row>
    <row r="10" spans="1:2" ht="12.75" customHeight="1">
      <c r="A10" s="59" t="s">
        <v>114</v>
      </c>
    </row>
    <row r="11" spans="1:2" ht="12.75" customHeight="1">
      <c r="A11" s="59" t="s">
        <v>115</v>
      </c>
      <c r="B11" s="15"/>
    </row>
    <row r="12" spans="1:2" ht="12.75" customHeight="1">
      <c r="A12" s="59" t="s">
        <v>116</v>
      </c>
    </row>
    <row r="13" spans="1:2" ht="12.75" customHeight="1">
      <c r="A13" s="59"/>
      <c r="B13" s="15"/>
    </row>
    <row r="14" spans="1:2" ht="12.75" customHeight="1">
      <c r="A14" s="59" t="s">
        <v>117</v>
      </c>
    </row>
    <row r="15" spans="1:2" ht="12.75" customHeight="1">
      <c r="A15" s="59" t="s">
        <v>118</v>
      </c>
      <c r="B15" s="14"/>
    </row>
    <row r="16" spans="1:2" ht="12.75" customHeight="1">
      <c r="A16" s="71" t="s">
        <v>119</v>
      </c>
      <c r="B16" s="14"/>
    </row>
    <row r="17" spans="1:7" ht="12.75" customHeight="1">
      <c r="A17" s="71" t="s">
        <v>120</v>
      </c>
      <c r="B17" s="14"/>
    </row>
    <row r="18" spans="1:7" ht="12.75" customHeight="1">
      <c r="A18" s="71"/>
      <c r="B18" s="14"/>
    </row>
    <row r="19" spans="1:7" ht="12.75" customHeight="1">
      <c r="A19" s="59" t="s">
        <v>121</v>
      </c>
      <c r="B19" s="14"/>
    </row>
    <row r="20" spans="1:7" ht="12.75" customHeight="1">
      <c r="A20" s="59" t="s">
        <v>122</v>
      </c>
      <c r="B20" s="14"/>
    </row>
    <row r="21" spans="1:7" ht="12.75" customHeight="1">
      <c r="A21" s="59" t="s">
        <v>123</v>
      </c>
      <c r="B21" s="14"/>
    </row>
    <row r="22" spans="1:7" ht="12.75" customHeight="1">
      <c r="A22" s="59" t="s">
        <v>124</v>
      </c>
      <c r="B22" s="14"/>
    </row>
    <row r="23" spans="1:7" ht="12.75" customHeight="1">
      <c r="A23" s="15"/>
      <c r="B23" s="14"/>
    </row>
    <row r="24" spans="1:7" ht="12.75" customHeight="1">
      <c r="B24" s="14"/>
    </row>
    <row r="25" spans="1:7">
      <c r="A25" s="70" t="s">
        <v>23</v>
      </c>
      <c r="B25" s="14"/>
    </row>
    <row r="26" spans="1:7" ht="28.5">
      <c r="A26" s="77" t="s">
        <v>125</v>
      </c>
      <c r="B26" s="14"/>
      <c r="G26" s="15"/>
    </row>
    <row r="27" spans="1:7">
      <c r="A27" s="34"/>
      <c r="B27" s="14"/>
      <c r="G27" s="15"/>
    </row>
    <row r="28" spans="1:7">
      <c r="A28" s="34"/>
      <c r="B28" s="14"/>
      <c r="G28" s="15"/>
    </row>
    <row r="29" spans="1:7">
      <c r="A29" s="70" t="s">
        <v>24</v>
      </c>
      <c r="B29" s="14"/>
    </row>
    <row r="30" spans="1:7">
      <c r="A30" s="82" t="s">
        <v>126</v>
      </c>
    </row>
    <row r="31" spans="1:7">
      <c r="A31" s="83" t="s">
        <v>127</v>
      </c>
    </row>
    <row r="32" spans="1:7">
      <c r="A32" s="84" t="s">
        <v>128</v>
      </c>
    </row>
    <row r="33" spans="1:6">
      <c r="A33" s="83" t="s">
        <v>129</v>
      </c>
    </row>
    <row r="34" spans="1:6" ht="26.25">
      <c r="A34" s="78" t="s">
        <v>130</v>
      </c>
    </row>
    <row r="35" spans="1:6">
      <c r="A35" s="72"/>
    </row>
    <row r="37" spans="1:6">
      <c r="A37" s="70" t="s">
        <v>25</v>
      </c>
      <c r="B37" s="14"/>
    </row>
    <row r="38" spans="1:6" s="14" customFormat="1">
      <c r="A38" s="70" t="s">
        <v>26</v>
      </c>
    </row>
    <row r="39" spans="1:6" s="14" customFormat="1">
      <c r="A39" s="50"/>
    </row>
    <row r="40" spans="1:6" s="14" customFormat="1">
      <c r="A40" s="50"/>
    </row>
    <row r="41" spans="1:6" s="17" customFormat="1">
      <c r="A41" s="52"/>
      <c r="B41" s="30" t="s">
        <v>131</v>
      </c>
      <c r="C41" s="30" t="s">
        <v>132</v>
      </c>
      <c r="D41" s="30" t="s">
        <v>133</v>
      </c>
      <c r="E41" s="30" t="s">
        <v>134</v>
      </c>
      <c r="F41" s="30" t="s">
        <v>135</v>
      </c>
    </row>
    <row r="42" spans="1:6" s="17" customFormat="1">
      <c r="A42" s="52" t="s">
        <v>136</v>
      </c>
      <c r="B42" s="73">
        <v>122500</v>
      </c>
      <c r="C42" s="31">
        <v>98392.95</v>
      </c>
      <c r="D42" s="32">
        <v>300000</v>
      </c>
      <c r="E42" s="33">
        <v>-100000</v>
      </c>
      <c r="F42" s="25" t="s">
        <v>9</v>
      </c>
    </row>
    <row r="43" spans="1:6" s="17" customFormat="1">
      <c r="A43" s="48" t="s">
        <v>117</v>
      </c>
      <c r="B43" s="32">
        <v>139500</v>
      </c>
      <c r="C43" s="31">
        <v>130599.74</v>
      </c>
      <c r="D43" s="32">
        <v>400000</v>
      </c>
      <c r="E43" s="33">
        <v>-80000</v>
      </c>
      <c r="F43" s="25" t="s">
        <v>8</v>
      </c>
    </row>
    <row r="44" spans="1:6" s="17" customFormat="1">
      <c r="A44" s="48" t="s">
        <v>137</v>
      </c>
      <c r="B44" s="32">
        <v>104500</v>
      </c>
      <c r="C44" s="31">
        <v>95754.34</v>
      </c>
      <c r="D44" s="32">
        <v>250000</v>
      </c>
      <c r="E44" s="33">
        <v>-60000</v>
      </c>
      <c r="F44" s="25" t="s">
        <v>10</v>
      </c>
    </row>
    <row r="45" spans="1:6" s="17" customFormat="1">
      <c r="A45" s="85"/>
      <c r="B45" s="86"/>
      <c r="C45" s="87"/>
      <c r="D45" s="86"/>
      <c r="E45" s="88"/>
    </row>
    <row r="47" spans="1:6">
      <c r="A47" s="89" t="s">
        <v>138</v>
      </c>
    </row>
    <row r="48" spans="1:6">
      <c r="A48" s="78"/>
    </row>
    <row r="49" spans="1:2">
      <c r="A49" s="78" t="s">
        <v>139</v>
      </c>
    </row>
    <row r="50" spans="1:2" ht="26.25">
      <c r="A50" s="78" t="s">
        <v>140</v>
      </c>
    </row>
    <row r="51" spans="1:2" ht="26.25">
      <c r="A51" s="78" t="s">
        <v>141</v>
      </c>
    </row>
    <row r="52" spans="1:2">
      <c r="A52" s="78" t="s">
        <v>142</v>
      </c>
    </row>
    <row r="53" spans="1:2">
      <c r="A53" s="78" t="s">
        <v>143</v>
      </c>
    </row>
    <row r="54" spans="1:2">
      <c r="A54" s="78" t="s">
        <v>144</v>
      </c>
    </row>
    <row r="55" spans="1:2">
      <c r="A55" s="78" t="s">
        <v>145</v>
      </c>
    </row>
    <row r="56" spans="1:2" ht="29.25" customHeight="1">
      <c r="A56" s="78" t="s">
        <v>146</v>
      </c>
    </row>
    <row r="57" spans="1:2" ht="27" customHeight="1">
      <c r="A57" s="78" t="s">
        <v>147</v>
      </c>
    </row>
    <row r="58" spans="1:2" ht="30" customHeight="1">
      <c r="A58" s="78" t="s">
        <v>148</v>
      </c>
    </row>
    <row r="59" spans="1:2" ht="30" customHeight="1">
      <c r="A59" s="72"/>
    </row>
    <row r="61" spans="1:2">
      <c r="A61" s="70" t="s">
        <v>27</v>
      </c>
      <c r="B61" s="14"/>
    </row>
    <row r="62" spans="1:2">
      <c r="A62" s="70" t="s">
        <v>28</v>
      </c>
      <c r="B62" s="14"/>
    </row>
    <row r="63" spans="1:2">
      <c r="A63" s="71" t="s">
        <v>149</v>
      </c>
      <c r="B63" s="14"/>
    </row>
    <row r="64" spans="1:2" ht="28.5">
      <c r="A64" s="71" t="s">
        <v>150</v>
      </c>
      <c r="B64" s="14"/>
    </row>
    <row r="65" spans="1:2">
      <c r="A65" s="71" t="s">
        <v>151</v>
      </c>
      <c r="B65" s="14"/>
    </row>
    <row r="66" spans="1:2" ht="28.5">
      <c r="A66" s="71" t="s">
        <v>152</v>
      </c>
      <c r="B66" s="14"/>
    </row>
    <row r="69" spans="1:2">
      <c r="A69" s="70" t="s">
        <v>29</v>
      </c>
      <c r="B69" s="14"/>
    </row>
    <row r="70" spans="1:2">
      <c r="A70" s="46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4148-336B-1C43-B099-D24D38E92A72}">
  <dimension ref="A1:B7"/>
  <sheetViews>
    <sheetView topLeftCell="A5" workbookViewId="0">
      <selection activeCell="B21" sqref="B21"/>
    </sheetView>
  </sheetViews>
  <sheetFormatPr defaultColWidth="11.3984375" defaultRowHeight="14.25"/>
  <cols>
    <col min="1" max="1" width="13.3984375" customWidth="1"/>
    <col min="2" max="2" width="118" customWidth="1"/>
  </cols>
  <sheetData>
    <row r="1" spans="1:2" ht="24" customHeight="1">
      <c r="A1" s="96" t="s">
        <v>154</v>
      </c>
      <c r="B1" s="97" t="s">
        <v>155</v>
      </c>
    </row>
    <row r="2" spans="1:2" ht="54" customHeight="1">
      <c r="A2" s="25">
        <v>1</v>
      </c>
      <c r="B2" s="93" t="s">
        <v>156</v>
      </c>
    </row>
    <row r="3" spans="1:2" ht="54.75" customHeight="1">
      <c r="A3" s="25">
        <v>2</v>
      </c>
      <c r="B3" s="93" t="s">
        <v>157</v>
      </c>
    </row>
    <row r="4" spans="1:2" ht="54.75" customHeight="1">
      <c r="A4" s="25">
        <v>3</v>
      </c>
      <c r="B4" s="94" t="s">
        <v>158</v>
      </c>
    </row>
    <row r="5" spans="1:2" ht="66" customHeight="1">
      <c r="A5" s="25">
        <v>4</v>
      </c>
      <c r="B5" s="95" t="s">
        <v>159</v>
      </c>
    </row>
    <row r="6" spans="1:2">
      <c r="A6" s="25">
        <v>5</v>
      </c>
      <c r="B6" s="94" t="s">
        <v>160</v>
      </c>
    </row>
    <row r="7" spans="1:2" ht="28.5">
      <c r="A7" s="25">
        <v>6</v>
      </c>
      <c r="B7" s="94" t="s">
        <v>161</v>
      </c>
    </row>
  </sheetData>
  <hyperlinks>
    <hyperlink ref="B2" r:id="rId1" display="https://www.statology.org/variance-of-probability-distribution/" xr:uid="{C39E5002-CE1D-8E40-AF08-AA897FE399D1}"/>
    <hyperlink ref="B3" r:id="rId2" location=":~:text=As%20a%20general%20rule%2C%20if,lose%20with%20a%20particular%20portfolio" display="https://www.investopedia.com/articles/pf/06/riskyportfolio.asp - :~:text=As%20a%20general%20rule%2C%20if,lose%20with%20a%20particular%20portfolio" xr:uid="{1B30BE50-D205-DB47-A98E-63C85E533CC4}"/>
    <hyperlink ref="B4" r:id="rId3" display="https://www.investopedia.com/financial-edge/0412/the-best-portfolio-balance.aspx" xr:uid="{21D28A99-F917-A04E-851E-39059412B257}"/>
    <hyperlink ref="B6" r:id="rId4" display="https://chatgpt.com/" xr:uid="{C9886545-2733-4344-BFF2-A902A07CCB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Part1-Individual</vt:lpstr>
      <vt:lpstr>Final</vt:lpstr>
      <vt:lpstr>Report</vt:lpstr>
      <vt:lpstr>References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soumo</dc:creator>
  <cp:keywords/>
  <dc:description/>
  <cp:lastModifiedBy>HP</cp:lastModifiedBy>
  <cp:revision/>
  <dcterms:created xsi:type="dcterms:W3CDTF">2015-06-05T18:17:20Z</dcterms:created>
  <dcterms:modified xsi:type="dcterms:W3CDTF">2026-04-01T12:59:52Z</dcterms:modified>
  <cp:category/>
  <cp:contentStatus/>
</cp:coreProperties>
</file>